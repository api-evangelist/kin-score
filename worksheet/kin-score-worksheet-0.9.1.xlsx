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etup" sheetId="2" state="visible" r:id="rId2"/>
    <sheet name="Scorecard" sheetId="3" state="visible" r:id="rId3"/>
    <sheet name="Checklist" sheetId="4" state="visible" r:id="rId4"/>
    <sheet name="Agent Readiness" sheetId="5" state="visible" r:id="rId5"/>
    <sheet name="Priorities" sheetId="6" state="visible" r:id="rId6"/>
    <sheet name="Bands" sheetId="7" state="visible" r:id="rId7"/>
    <sheet name="Regulated Industries" sheetId="8" state="visible" r:id="rId8"/>
    <sheet name="Provenance" sheetId="9" state="visible" r:id="rId9"/>
  </sheets>
  <definedNames>
    <definedName name="REGIME">Setup!$B$19</definedName>
    <definedName name="GATES">Setup!$E$13:$F$17</definedName>
    <definedName name="PROV_CREDIT">Setup!$E$20:$F$24</definedName>
    <definedName name="REGULATED">Setup!$B$19</definedName>
    <definedName name="_xlnm._FilterDatabase" localSheetId="3" hidden="1">'Checklist'!$A$1:$S$107</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10">
    <font>
      <name val="Calibri"/>
      <family val="2"/>
      <color theme="1"/>
      <sz val="11"/>
      <scheme val="minor"/>
    </font>
    <font>
      <name val="Helvetica Neue"/>
      <b val="1"/>
      <color rgb="001C5F90"/>
      <sz val="16"/>
    </font>
    <font>
      <name val="Helvetica Neue"/>
      <color rgb="005A6570"/>
      <sz val="9"/>
    </font>
    <font>
      <name val="Helvetica Neue"/>
      <b val="1"/>
      <color rgb="001C5F90"/>
      <sz val="12"/>
    </font>
    <font>
      <name val="Helvetica Neue"/>
      <sz val="10"/>
    </font>
    <font>
      <name val="Helvetica Neue"/>
      <b val="1"/>
      <sz val="10"/>
    </font>
    <font>
      <name val="Helvetica Neue"/>
      <b val="1"/>
      <color rgb="00FFFFFF"/>
      <sz val="10"/>
    </font>
    <font>
      <name val="Menlo"/>
      <color rgb="005A6570"/>
      <sz val="9"/>
    </font>
    <font>
      <name val="Helvetica Neue"/>
      <b val="1"/>
      <color rgb="001C5F90"/>
      <sz val="20"/>
    </font>
    <font>
      <name val="Helvetica Neue"/>
      <b val="1"/>
      <color rgb="001C5F90"/>
      <sz val="14"/>
    </font>
  </fonts>
  <fills count="5">
    <fill>
      <patternFill/>
    </fill>
    <fill>
      <patternFill patternType="gray125"/>
    </fill>
    <fill>
      <patternFill patternType="solid">
        <fgColor rgb="00FFF8E1"/>
      </patternFill>
    </fill>
    <fill>
      <patternFill patternType="solid">
        <fgColor rgb="003098D8"/>
      </patternFill>
    </fill>
    <fill>
      <patternFill patternType="solid">
        <fgColor rgb="00E3F1FB"/>
      </patternFill>
    </fill>
  </fills>
  <borders count="2">
    <border>
      <left/>
      <right/>
      <top/>
      <bottom/>
      <diagonal/>
    </border>
    <border>
      <bottom style="thin">
        <color rgb="00D9DEE3"/>
      </bottom>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2" borderId="0" applyAlignment="1" pivotButton="0" quotePrefix="0" xfId="0">
      <alignment horizontal="center" vertical="top"/>
    </xf>
    <xf numFmtId="0" fontId="6" fillId="3" borderId="0" pivotButton="0" quotePrefix="0" xfId="0"/>
    <xf numFmtId="0" fontId="7" fillId="0" borderId="0" pivotButton="0" quotePrefix="0" xfId="0"/>
    <xf numFmtId="0" fontId="5" fillId="2" borderId="0" pivotButton="0" quotePrefix="0" xfId="0"/>
    <xf numFmtId="0" fontId="6" fillId="3" borderId="0" applyAlignment="1" pivotButton="0" quotePrefix="0" xfId="0">
      <alignment vertical="center" wrapText="1"/>
    </xf>
    <xf numFmtId="0" fontId="5" fillId="0" borderId="1" pivotButton="0" quotePrefix="0" xfId="0"/>
    <xf numFmtId="9" fontId="0" fillId="0" borderId="1" pivotButton="0" quotePrefix="0" xfId="0"/>
    <xf numFmtId="166" fontId="0" fillId="0" borderId="1" pivotButton="0" quotePrefix="0" xfId="0"/>
    <xf numFmtId="0" fontId="0" fillId="0" borderId="1" pivotButton="0" quotePrefix="0" xfId="0"/>
    <xf numFmtId="164" fontId="0" fillId="0" borderId="1" pivotButton="0" quotePrefix="0" xfId="0"/>
    <xf numFmtId="2" fontId="0" fillId="0" borderId="1" pivotButton="0" quotePrefix="0" xfId="0"/>
    <xf numFmtId="0" fontId="2" fillId="0" borderId="1" applyAlignment="1" pivotButton="0" quotePrefix="0" xfId="0">
      <alignment vertical="top" wrapText="1"/>
    </xf>
    <xf numFmtId="0" fontId="3" fillId="4" borderId="0" pivotButton="0" quotePrefix="0" xfId="0"/>
    <xf numFmtId="0" fontId="0" fillId="4" borderId="0" pivotButton="0" quotePrefix="0" xfId="0"/>
    <xf numFmtId="164" fontId="8" fillId="4" borderId="0" applyAlignment="1" pivotButton="0" quotePrefix="0" xfId="0">
      <alignment horizontal="center" vertical="top"/>
    </xf>
    <xf numFmtId="0" fontId="5" fillId="0" borderId="0" pivotButton="0" quotePrefix="0" xfId="0"/>
    <xf numFmtId="0" fontId="3" fillId="0" borderId="0" applyAlignment="1" pivotButton="0" quotePrefix="0" xfId="0">
      <alignment horizontal="center" vertical="top"/>
    </xf>
    <xf numFmtId="0" fontId="0" fillId="0" borderId="0" applyAlignment="1" pivotButton="0" quotePrefix="0" xfId="0">
      <alignment horizontal="center" vertical="top"/>
    </xf>
    <xf numFmtId="0" fontId="5" fillId="0" borderId="0" applyAlignment="1" pivotButton="0" quotePrefix="0" xfId="0">
      <alignment horizontal="center" vertical="top"/>
    </xf>
    <xf numFmtId="2" fontId="0" fillId="0" borderId="0" applyAlignment="1" pivotButton="0" quotePrefix="0" xfId="0">
      <alignment horizontal="center" vertical="top"/>
    </xf>
    <xf numFmtId="0" fontId="9" fillId="0" borderId="0" applyAlignment="1" pivotButton="0" quotePrefix="0" xfId="0">
      <alignment horizontal="center" vertical="top"/>
    </xf>
    <xf numFmtId="0" fontId="4" fillId="0" borderId="1" applyAlignment="1" pivotButton="0" quotePrefix="0" xfId="0">
      <alignment vertical="top"/>
    </xf>
    <xf numFmtId="0" fontId="7" fillId="0" borderId="1" applyAlignment="1" pivotButton="0" quotePrefix="0" xfId="0">
      <alignment vertical="top"/>
    </xf>
    <xf numFmtId="0" fontId="5" fillId="0" borderId="1" applyAlignment="1" pivotButton="0" quotePrefix="0" xfId="0">
      <alignment vertical="top"/>
    </xf>
    <xf numFmtId="0" fontId="4" fillId="0" borderId="1" applyAlignment="1" pivotButton="0" quotePrefix="0" xfId="0">
      <alignment horizontal="center" vertical="top"/>
    </xf>
    <xf numFmtId="0" fontId="0" fillId="0" borderId="1" applyAlignment="1" pivotButton="0" quotePrefix="0" xfId="0">
      <alignment vertical="top"/>
    </xf>
    <xf numFmtId="0" fontId="4" fillId="2" borderId="1" applyAlignment="1" pivotButton="0" quotePrefix="0" xfId="0">
      <alignment horizontal="center" vertical="top"/>
    </xf>
    <xf numFmtId="9" fontId="0" fillId="2" borderId="1" applyAlignment="1" pivotButton="0" quotePrefix="0" xfId="0">
      <alignment horizontal="center" vertical="top"/>
    </xf>
    <xf numFmtId="2"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horizontal="center" vertical="top"/>
    </xf>
    <xf numFmtId="0" fontId="7" fillId="0" borderId="1" applyAlignment="1" pivotButton="0" quotePrefix="0" xfId="0">
      <alignment vertical="top" wrapText="1"/>
    </xf>
    <xf numFmtId="0" fontId="4" fillId="0" borderId="1" applyAlignment="1" pivotButton="0" quotePrefix="0" xfId="0">
      <alignment vertical="top" wrapText="1"/>
    </xf>
    <xf numFmtId="0" fontId="0" fillId="2" borderId="1" applyAlignment="1" pivotButton="0" quotePrefix="0" xfId="0">
      <alignment vertical="top"/>
    </xf>
    <xf numFmtId="165" fontId="0" fillId="2" borderId="1" applyAlignment="1" pivotButton="0" quotePrefix="0" xfId="0">
      <alignment vertical="top"/>
    </xf>
    <xf numFmtId="0" fontId="2" fillId="0" borderId="1" applyAlignment="1" pivotButton="0" quotePrefix="0" xfId="0">
      <alignment vertical="top"/>
    </xf>
    <xf numFmtId="0" fontId="0" fillId="2" borderId="1" applyAlignment="1" pivotButton="0" quotePrefix="0" xfId="0">
      <alignment horizontal="center" vertical="top"/>
    </xf>
    <xf numFmtId="0" fontId="2" fillId="0" borderId="1" applyAlignment="1" pivotButton="0" quotePrefix="0" xfId="0">
      <alignment horizontal="center" vertical="top"/>
    </xf>
    <xf numFmtId="0" fontId="5" fillId="4" borderId="0" pivotButton="0" quotePrefix="0" xfId="0"/>
    <xf numFmtId="2" fontId="5" fillId="0" borderId="1" applyAlignment="1" pivotButton="0" quotePrefix="0" xfId="0">
      <alignment vertical="top"/>
    </xf>
    <xf numFmtId="0" fontId="0" fillId="0" borderId="1" applyAlignment="1" pivotButton="0" quotePrefix="0" xfId="0">
      <alignment vertical="top" wrapText="1"/>
    </xf>
    <xf numFmtId="0" fontId="7" fillId="0" borderId="1" pivotButton="0" quotePrefix="0" xfId="0"/>
    <xf numFmtId="2" fontId="0" fillId="0" borderId="1" applyAlignment="1" pivotButton="0" quotePrefix="0" xfId="0">
      <alignment horizontal="center" vertical="top"/>
    </xf>
    <xf numFmtId="0" fontId="4" fillId="0" borderId="1" pivotButton="0" quotePrefix="0" xfId="0"/>
    <xf numFmtId="0" fontId="2" fillId="0" borderId="1" pivotButton="0" quotePrefix="0" xfId="0"/>
  </cellXfs>
  <cellStyles count="1">
    <cellStyle name="Normal" xfId="0" builtinId="0" hidden="0"/>
  </cellStyles>
  <dxfs count="2">
    <dxf>
      <font>
        <name val="Helvetica Neue"/>
        <i val="1"/>
        <color rgb="00A0A8AE"/>
        <sz val="10"/>
      </font>
    </dxf>
    <dxf>
      <fill>
        <patternFill patternType="solid">
          <fgColor rgb="00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4" customWidth="1" min="1" max="1"/>
    <col width="118" customWidth="1" min="2" max="2"/>
  </cols>
  <sheetData>
    <row r="2">
      <c r="B2" s="1" t="inlineStr">
        <is>
          <t>Kin Score Worksheet</t>
        </is>
      </c>
    </row>
    <row r="3">
      <c r="B3" s="2" t="inlineStr">
        <is>
          <t>Rubric 0.9.1 (2026-08-04) — the API Evangelist rating system, licensed by APIs.io</t>
        </is>
      </c>
    </row>
    <row r="5">
      <c r="B5" s="3" t="inlineStr">
        <is>
          <t>What this is</t>
        </is>
      </c>
    </row>
    <row r="6" ht="62" customHeight="1">
      <c r="B6" s="4" t="inlineStr">
        <is>
          <t>A working copy of the Kin Score rubric you can fill in for your own API program. It holds every one of the 106 checks in the composite score and all 14 Agent Readiness dimensions, with their real point values, and it reproduces the scorer's arithmetic in formulas — including the conditional regulatory facet, the N/A rules for contracts you don't publish, and the provenance multiplier. Tick a check off and every number moves.</t>
        </is>
      </c>
    </row>
    <row r="8">
      <c r="B8" s="3" t="inlineStr">
        <is>
          <t>How to use it</t>
        </is>
      </c>
    </row>
    <row r="9">
      <c r="B9" s="4" t="inlineStr">
        <is>
          <t>1.  Setup tab — name your program and answer the four 'what do you publish' questions. Pick your regulatory regime, or leave it as none.</t>
        </is>
      </c>
    </row>
    <row r="10" ht="48" customHeight="1">
      <c r="B10" s="4" t="inlineStr">
        <is>
          <t>2.  Checklist tab — work down it and set Status to Yes / Partial / No. Yellow cells are yours; everything else calculates. Use the Coverage column when a check is true of some of your contracts but not all — the scorer averages spec checks across every document you publish, so 6 of 10 specs with good summaries is 60%, not a pass.</t>
        </is>
      </c>
    </row>
    <row r="11">
      <c r="B11" s="4" t="inlineStr">
        <is>
          <t>3.  Priorities tab — reads back the highest-value unfinished work, ranked by what each check is actually worth to your score today.</t>
        </is>
      </c>
    </row>
    <row r="12">
      <c r="B12" s="4" t="inlineStr">
        <is>
          <t>4.  Scorecard tab — your composite, your band, and where the remaining points sit.</t>
        </is>
      </c>
    </row>
    <row r="13" ht="34" customHeight="1">
      <c r="B13" s="4" t="inlineStr">
        <is>
          <t>5.  Agent Readiness tab — scored separately and never blended into the composite. Several dimensions are graded rather than pass/fail; the grades available are listed on each row.</t>
        </is>
      </c>
    </row>
    <row r="15">
      <c r="B15" s="3" t="inlineStr">
        <is>
          <t>The arithmetic</t>
        </is>
      </c>
    </row>
    <row r="16" ht="34" customHeight="1">
      <c r="B16" s="4" t="inlineStr">
        <is>
          <t>Each check awards points to one facet. A facet's sub-score is points earned ÷ points available for that facet, as a 0–100. The composite is the weighted sum of the facet sub-scores.</t>
        </is>
      </c>
    </row>
    <row r="17" ht="62" customHeight="1">
      <c r="B17" s="4" t="inlineStr">
        <is>
          <t>Points available is not a constant. A check that cannot apply to you leaves the denominator instead of scoring zero — that is why the facet weights matter less than the size of the facet you are working in. This is the single most useful thing in the sheet: a 5-point check in a small facet can be worth more composite score than a 20-point check in a large one, and the 'Worth on your score' column tells you which.</t>
        </is>
      </c>
    </row>
    <row r="18" ht="34" customHeight="1">
      <c r="B18" s="4" t="inlineStr">
        <is>
          <t>The regulatory facet is conditional. Unregulated, it does not exist for you and the other six facets carry the whole score. Regulated, it takes 15% and the other six scale to 85%. Regime-specific checks only apply inside their regime.</t>
        </is>
      </c>
    </row>
    <row r="19" ht="34" customHeight="1">
      <c r="B19" s="4" t="inlineStr">
        <is>
          <t>Provenance multiplies the award, it does not gate it. An artifact API Evangelist authored on your behalf still earns a quarter of its points — see the Provenance tab.</t>
        </is>
      </c>
    </row>
    <row r="21">
      <c r="B21" s="3" t="inlineStr">
        <is>
          <t>What this sheet cannot do</t>
        </is>
      </c>
    </row>
    <row r="22" ht="34" customHeight="1">
      <c r="B22" s="4" t="inlineStr">
        <is>
          <t>It cannot set your real score. The published Kin Score is computed by the scorer against artifacts it can actually fetch and parse; this is a planning model of the same rubric. Filling it in optimistically changes nothing but the spreadsheet.</t>
        </is>
      </c>
    </row>
    <row r="23" ht="20" customHeight="1">
      <c r="B23" s="4" t="inlineStr">
        <is>
          <t>Four ways providers lose points for work they genuinely did — worth checking before you conclude the score is wrong:</t>
        </is>
      </c>
    </row>
    <row r="24" ht="48" customHeight="1">
      <c r="B24" s="4" t="inlineStr">
        <is>
          <t>•  A contract that is only linked, never harvested. If your apis.yml points 'type: OpenAPI' at a remote URL and nothing lands on disk, all 22 spec-level checks — 86 points — score against nothing. Publish the spec at a stable path and point the index at it.</t>
        </is>
      </c>
    </row>
    <row r="25" ht="34" customHeight="1">
      <c r="B25" s="4" t="inlineStr">
        <is>
          <t>•  An A2A agent card at a filename the scorer doesn't look for. It reads a2a/&lt;slug&gt;-a2a.yml, on your provider slug, not your company name.</t>
        </is>
      </c>
    </row>
    <row r="26" ht="48" customHeight="1">
      <c r="B26" s="4" t="inlineStr">
        <is>
          <t>•  A self-hosted index that isn't. 'apis.json self-hosted' rewards YOUR host — an index served from github, apievangelist.com or apis.io fails it by design. The check exists to reward the difference between describing yourself and being described.</t>
        </is>
      </c>
    </row>
    <row r="27" ht="48" customHeight="1">
      <c r="B27" s="4" t="inlineStr">
        <is>
          <t>•  Unmarked authorship. An artifact with no provenance marker is credited in full today, but that is the loosest dial in the rubric and it is expected to tighten. Marking your own work as yours protects points you already hold.</t>
        </is>
      </c>
    </row>
    <row r="29">
      <c r="B29" s="3" t="inlineStr">
        <is>
          <t>Where the real thing lives</t>
        </is>
      </c>
    </row>
    <row r="30">
      <c r="B30" s="4" t="inlineStr">
        <is>
          <t>Rubric, changelog and every versioned snapshot:  github.com/api-evangelist/kin-score</t>
        </is>
      </c>
    </row>
    <row r="31">
      <c r="B31" s="4" t="inlineStr">
        <is>
          <t>Your live score and band:  apis.io  ·  providers.apievangelist.com</t>
        </is>
      </c>
    </row>
    <row r="32">
      <c r="B32" s="4" t="inlineStr">
        <is>
          <t>Questions, or a score you think is wrong:  kin@apievangelist.com</t>
        </is>
      </c>
    </row>
    <row r="34" ht="30" customHeight="1">
      <c r="B34" s="2" t="inlineStr">
        <is>
          <t>Every input to this score is a public, machine-checkable signal you chose to publish or chose to leave out. No human quietly adds or removes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46" customWidth="1" min="1" max="1"/>
    <col width="14" customWidth="1" min="2" max="2"/>
    <col width="62" customWidth="1" min="3" max="3"/>
    <col width="3" customWidth="1" min="4" max="4"/>
    <col width="22" customWidth="1" min="5" max="5"/>
    <col width="12" customWidth="1" min="6" max="6"/>
    <col width="3" customWidth="1" min="7" max="7"/>
    <col width="26" customWidth="1" min="8" max="8"/>
  </cols>
  <sheetData>
    <row r="1">
      <c r="A1" s="5" t="inlineStr">
        <is>
          <t>Kin Score Worksheet — Setup</t>
        </is>
      </c>
    </row>
    <row r="2">
      <c r="A2" s="6" t="inlineStr">
        <is>
          <t>Fill in the yellow cells. They switch whole blocks of checks on or off, exactly the way the scorer does.</t>
        </is>
      </c>
    </row>
    <row r="4">
      <c r="A4" s="7" t="inlineStr">
        <is>
          <t>Your API program</t>
        </is>
      </c>
    </row>
    <row r="5">
      <c r="A5" s="8" t="inlineStr">
        <is>
          <t>Provider name</t>
        </is>
      </c>
      <c r="B5" s="9" t="inlineStr"/>
    </row>
    <row r="6">
      <c r="A6" s="8" t="inlineStr">
        <is>
          <t>APIs.io provider slug</t>
        </is>
      </c>
      <c r="B6" s="9" t="inlineStr"/>
    </row>
    <row r="7">
      <c r="A7" s="8" t="inlineStr">
        <is>
          <t>Assessment date</t>
        </is>
      </c>
      <c r="B7" s="9" t="inlineStr"/>
    </row>
    <row r="8">
      <c r="A8" s="8" t="inlineStr">
        <is>
          <t>Assessed by</t>
        </is>
      </c>
      <c r="B8" s="9" t="inlineStr"/>
    </row>
    <row r="10">
      <c r="A10" s="7" t="inlineStr">
        <is>
          <t>What you publish today</t>
        </is>
      </c>
    </row>
    <row r="11">
      <c r="A11" s="6" t="inlineStr">
        <is>
          <t>A contract you do not publish is not counted against you — those checks leave the denominator entirely. Answer honestly; overstating here inflates the whole sheet.</t>
        </is>
      </c>
    </row>
    <row r="12">
      <c r="A12" s="8" t="inlineStr">
        <is>
          <t>Do you publish an OpenAPI (or Swagger 2.0) contract?</t>
        </is>
      </c>
      <c r="B12" s="10" t="inlineStr">
        <is>
          <t>Yes</t>
        </is>
      </c>
      <c r="C12" s="6" t="inlineStr">
        <is>
          <t>Switches on the 17 spec-level OpenAPI checks.</t>
        </is>
      </c>
      <c r="E12" s="11" t="inlineStr">
        <is>
          <t>gate</t>
        </is>
      </c>
      <c r="F12" s="11" t="inlineStr">
        <is>
          <t>applies</t>
        </is>
      </c>
      <c r="H12" s="11" t="inlineStr">
        <is>
          <t>regime ids</t>
        </is>
      </c>
    </row>
    <row r="13">
      <c r="A13" s="8" t="inlineStr">
        <is>
          <t>Do you publish an AsyncAPI document?</t>
        </is>
      </c>
      <c r="B13" s="10" t="inlineStr">
        <is>
          <t>No</t>
        </is>
      </c>
      <c r="C13" s="6" t="inlineStr">
        <is>
          <t>Switches on the 5 spec-level AsyncAPI checks.</t>
        </is>
      </c>
      <c r="E13" s="12" t="inlineStr">
        <is>
          <t>always</t>
        </is>
      </c>
      <c r="F13" s="12" t="inlineStr">
        <is>
          <t>Yes</t>
        </is>
      </c>
      <c r="H13" s="12" t="inlineStr">
        <is>
          <t>none</t>
        </is>
      </c>
    </row>
    <row r="14">
      <c r="A14" s="8" t="inlineStr">
        <is>
          <t>Do you publish a GraphQL SDL?</t>
        </is>
      </c>
      <c r="B14" s="10" t="inlineStr">
        <is>
          <t>No</t>
        </is>
      </c>
      <c r="C14" s="6" t="inlineStr">
        <is>
          <t>Switches on the 3 GraphQL checks. Not a GraphQL shop = not penalised.</t>
        </is>
      </c>
      <c r="E14" s="12" t="inlineStr">
        <is>
          <t>openapi</t>
        </is>
      </c>
      <c r="F14" s="12">
        <f>B12</f>
        <v/>
      </c>
      <c r="H14" s="12" t="inlineStr">
        <is>
          <t>banking_open_finance</t>
        </is>
      </c>
    </row>
    <row r="15">
      <c r="A15" s="8" t="inlineStr">
        <is>
          <t>Do you publish a FHIR CapabilityStatement?</t>
        </is>
      </c>
      <c r="B15" s="10" t="inlineStr">
        <is>
          <t>No</t>
        </is>
      </c>
      <c r="C15" s="6" t="inlineStr">
        <is>
          <t>Switches on the 2 FHIR checks. Not a FHIR server = not penalised.</t>
        </is>
      </c>
      <c r="E15" s="12" t="inlineStr">
        <is>
          <t>asyncapi</t>
        </is>
      </c>
      <c r="F15" s="12">
        <f>B13</f>
        <v/>
      </c>
      <c r="H15" s="12" t="inlineStr">
        <is>
          <t>securities_market_data</t>
        </is>
      </c>
    </row>
    <row r="16">
      <c r="E16" s="12" t="inlineStr">
        <is>
          <t>graphql</t>
        </is>
      </c>
      <c r="F16" s="12">
        <f>B14</f>
        <v/>
      </c>
      <c r="H16" s="12" t="inlineStr">
        <is>
          <t>health</t>
        </is>
      </c>
    </row>
    <row r="17">
      <c r="A17" s="7" t="inlineStr">
        <is>
          <t>Regulated industry</t>
        </is>
      </c>
      <c r="E17" s="12" t="inlineStr">
        <is>
          <t>fhir</t>
        </is>
      </c>
      <c r="F17" s="12">
        <f>B15</f>
        <v/>
      </c>
      <c r="H17" s="12" t="inlineStr">
        <is>
          <t>payments</t>
        </is>
      </c>
    </row>
    <row r="18">
      <c r="A18" s="6" t="inlineStr">
        <is>
          <t>The regulatory facet is conditional. Pick the regime your tags match — see the 'Regulated Industries' tab — or leave it as none. Most-specific regime wins.</t>
        </is>
      </c>
      <c r="H18" s="12" t="inlineStr">
        <is>
          <t>insurance</t>
        </is>
      </c>
    </row>
    <row r="19">
      <c r="A19" s="8" t="inlineStr">
        <is>
          <t>Regime</t>
        </is>
      </c>
      <c r="B19" s="13" t="inlineStr">
        <is>
          <t>none</t>
        </is>
      </c>
      <c r="C19" s="6" t="inlineStr">
        <is>
          <t>When set, the regulatory facet takes 15% of the composite and the other six scale to the remaining 85%.</t>
        </is>
      </c>
      <c r="E19" s="11" t="inlineStr">
        <is>
          <t>authorship</t>
        </is>
      </c>
      <c r="F19" s="11" t="inlineStr">
        <is>
          <t>credit</t>
        </is>
      </c>
      <c r="H19" s="12" t="inlineStr">
        <is>
          <t>telecommunications</t>
        </is>
      </c>
    </row>
    <row r="20">
      <c r="E20" s="12" t="inlineStr">
        <is>
          <t>—</t>
        </is>
      </c>
      <c r="F20" s="12" t="n">
        <v>1</v>
      </c>
      <c r="H20" s="12" t="inlineStr">
        <is>
          <t>energy_utilities</t>
        </is>
      </c>
    </row>
    <row r="21">
      <c r="E21" s="12" t="inlineStr">
        <is>
          <t>first-party</t>
        </is>
      </c>
      <c r="F21" s="12" t="n">
        <v>1</v>
      </c>
      <c r="H21" s="12" t="inlineStr">
        <is>
          <t>government</t>
        </is>
      </c>
    </row>
    <row r="22">
      <c r="E22" s="12" t="inlineStr">
        <is>
          <t>conformance</t>
        </is>
      </c>
      <c r="F22" s="12" t="n">
        <v>0.75</v>
      </c>
    </row>
    <row r="23">
      <c r="E23" s="12" t="inlineStr">
        <is>
          <t>derived</t>
        </is>
      </c>
      <c r="F23" s="12" t="n">
        <v>0.25</v>
      </c>
    </row>
    <row r="24">
      <c r="E24" s="12" t="inlineStr">
        <is>
          <t>unknown</t>
        </is>
      </c>
      <c r="F24" s="12" t="n">
        <v>1</v>
      </c>
    </row>
  </sheetData>
  <dataValidations count="2">
    <dataValidation sqref="B12:B15" showDropDown="0" showInputMessage="0" showErrorMessage="0" allowBlank="0" type="list">
      <formula1>"Yes,No"</formula1>
    </dataValidation>
    <dataValidation sqref="B19" showDropDown="0" showInputMessage="0" showErrorMessage="0" allowBlank="0" type="list">
      <formula1>=Setup!$H$13:$H$21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34" customWidth="1" min="1" max="1"/>
    <col width="10" customWidth="1" min="2" max="2"/>
    <col width="15" customWidth="1" min="3" max="3"/>
    <col width="15" customWidth="1" min="4" max="4"/>
    <col width="14" customWidth="1" min="5" max="5"/>
    <col width="16" customWidth="1" min="6" max="6"/>
    <col width="13" customWidth="1" min="7" max="7"/>
    <col width="4" customWidth="1" min="8" max="8"/>
    <col width="78" customWidth="1" min="9" max="9"/>
  </cols>
  <sheetData>
    <row r="1">
      <c r="A1" s="5" t="inlineStr">
        <is>
          <t>Kin Score — Scorecard</t>
        </is>
      </c>
    </row>
    <row r="2">
      <c r="A2" s="7">
        <f>IF(Setup!B5="","(name your provider on the Setup tab)",Setup!B5)</f>
        <v/>
      </c>
    </row>
    <row r="3">
      <c r="A3" s="6" t="inlineStr">
        <is>
          <t>Rubric 0.9.1 (2026-08-04). Every number here is computed from the Checklist tab — nothing on this sheet is typed.</t>
        </is>
      </c>
    </row>
    <row r="5" ht="28" customHeight="1">
      <c r="A5" s="14" t="inlineStr">
        <is>
          <t>Facet</t>
        </is>
      </c>
      <c r="B5" s="14" t="inlineStr">
        <is>
          <t>Weight</t>
        </is>
      </c>
      <c r="C5" s="14" t="inlineStr">
        <is>
          <t>Effective weight</t>
        </is>
      </c>
      <c r="D5" s="14" t="inlineStr">
        <is>
          <t>Points available</t>
        </is>
      </c>
      <c r="E5" s="14" t="inlineStr">
        <is>
          <t>Points earned</t>
        </is>
      </c>
      <c r="F5" s="14" t="inlineStr">
        <is>
          <t>Sub-score (0–100)</t>
        </is>
      </c>
      <c r="G5" s="14" t="inlineStr">
        <is>
          <t>Contribution</t>
        </is>
      </c>
      <c r="H5" s="14" t="inlineStr"/>
      <c r="I5" s="14" t="inlineStr">
        <is>
          <t>What it measures</t>
        </is>
      </c>
    </row>
    <row r="6">
      <c r="A6" s="15" t="inlineStr">
        <is>
          <t>Discoverability</t>
        </is>
      </c>
      <c r="B6" s="16" t="n">
        <v>0.1</v>
      </c>
      <c r="C6" s="17">
        <f>IF(REGIME="none",$B6,$B6*0.85)</f>
        <v/>
      </c>
      <c r="D6" s="18">
        <f>SUMIF(Checklist!$B$2:$B$107,$A6,Checklist!$L$2:$L$107)</f>
        <v/>
      </c>
      <c r="E6" s="19">
        <f>SUMIF(Checklist!$B$2:$B$107,$A6,Checklist!$K$2:$K$107)</f>
        <v/>
      </c>
      <c r="F6" s="19">
        <f>IF($D6=0,0,ROUND($E6/$D6*100,1))</f>
        <v/>
      </c>
      <c r="G6" s="20">
        <f>ROUND($C6*$F6,2)</f>
        <v/>
      </c>
      <c r="H6" s="18" t="n"/>
      <c r="I6" s="21" t="inlineStr">
        <is>
          <t>Can the API be found and understood from machine-readable metadata alone? Driven by apis.yml completeness, tagging, and identity signals.</t>
        </is>
      </c>
    </row>
    <row r="7">
      <c r="A7" s="15" t="inlineStr">
        <is>
          <t>Contract Quality</t>
        </is>
      </c>
      <c r="B7" s="16" t="n">
        <v>0.25</v>
      </c>
      <c r="C7" s="17">
        <f>IF(REGIME="none",$B7,$B7*0.85)</f>
        <v/>
      </c>
      <c r="D7" s="18">
        <f>SUMIF(Checklist!$B$2:$B$107,$A7,Checklist!$L$2:$L$107)</f>
        <v/>
      </c>
      <c r="E7" s="19">
        <f>SUMIF(Checklist!$B$2:$B$107,$A7,Checklist!$K$2:$K$107)</f>
        <v/>
      </c>
      <c r="F7" s="19">
        <f>IF($D7=0,0,ROUND($E7/$D7*100,1))</f>
        <v/>
      </c>
      <c r="G7" s="20">
        <f>ROUND($C7*$F7,2)</f>
        <v/>
      </c>
      <c r="H7" s="18" t="n"/>
      <c r="I7" s="21" t="inlineStr">
        <is>
          <t>Technical depth and richness of the API contract artifacts — OpenAPI, AsyncAPI, JSON Schema, JSON-LD.</t>
        </is>
      </c>
    </row>
    <row r="8">
      <c r="A8" s="15" t="inlineStr">
        <is>
          <t>Governance</t>
        </is>
      </c>
      <c r="B8" s="16" t="n">
        <v>0.12</v>
      </c>
      <c r="C8" s="17">
        <f>IF(REGIME="none",$B8,$B8*0.85)</f>
        <v/>
      </c>
      <c r="D8" s="18">
        <f>SUMIF(Checklist!$B$2:$B$107,$A8,Checklist!$L$2:$L$107)</f>
        <v/>
      </c>
      <c r="E8" s="19">
        <f>SUMIF(Checklist!$B$2:$B$107,$A8,Checklist!$K$2:$K$107)</f>
        <v/>
      </c>
      <c r="F8" s="19">
        <f>IF($D8=0,0,ROUND($E8/$D8*100,1))</f>
        <v/>
      </c>
      <c r="G8" s="20">
        <f>ROUND($C8*$F8,2)</f>
        <v/>
      </c>
      <c r="H8" s="18" t="n"/>
      <c r="I8" s="21" t="inlineStr">
        <is>
          <t>Outcomes of Spectral linting and presence of governance artifacts (rulesets, vocabulary). Severity-weighted.</t>
        </is>
      </c>
    </row>
    <row r="9">
      <c r="A9" s="15" t="inlineStr">
        <is>
          <t>Operational Transparency</t>
        </is>
      </c>
      <c r="B9" s="16" t="n">
        <v>0.13</v>
      </c>
      <c r="C9" s="17">
        <f>IF(REGIME="none",$B9,$B9*0.85)</f>
        <v/>
      </c>
      <c r="D9" s="18">
        <f>SUMIF(Checklist!$B$2:$B$107,$A9,Checklist!$L$2:$L$107)</f>
        <v/>
      </c>
      <c r="E9" s="19">
        <f>SUMIF(Checklist!$B$2:$B$107,$A9,Checklist!$K$2:$K$107)</f>
        <v/>
      </c>
      <c r="F9" s="19">
        <f>IF($D9=0,0,ROUND($E9/$D9*100,1))</f>
        <v/>
      </c>
      <c r="G9" s="20">
        <f>ROUND($C9*$F9,2)</f>
        <v/>
      </c>
      <c r="H9" s="18" t="n"/>
      <c r="I9" s="21" t="inlineStr">
        <is>
          <t>Does the provider expose how the API behaves operationally? Rate limits, status, change log, deprecation, security disclosure.</t>
        </is>
      </c>
    </row>
    <row r="10">
      <c r="A10" s="15" t="inlineStr">
        <is>
          <t>Developer Ergonomics</t>
        </is>
      </c>
      <c r="B10" s="16" t="n">
        <v>0.2</v>
      </c>
      <c r="C10" s="17">
        <f>IF(REGIME="none",$B10,$B10*0.85)</f>
        <v/>
      </c>
      <c r="D10" s="18">
        <f>SUMIF(Checklist!$B$2:$B$107,$A10,Checklist!$L$2:$L$107)</f>
        <v/>
      </c>
      <c r="E10" s="19">
        <f>SUMIF(Checklist!$B$2:$B$107,$A10,Checklist!$K$2:$K$107)</f>
        <v/>
      </c>
      <c r="F10" s="19">
        <f>IF($D10=0,0,ROUND($E10/$D10*100,1))</f>
        <v/>
      </c>
      <c r="G10" s="20">
        <f>ROUND($C10*$F10,2)</f>
        <v/>
      </c>
      <c r="H10" s="18" t="n"/>
      <c r="I10" s="21" t="inlineStr">
        <is>
          <t>How easy is it to get started? SDKs, CLI, portal, getting-started, documentation, sandbox/console, MCP server, and authentication clarity.</t>
        </is>
      </c>
    </row>
    <row r="11">
      <c r="A11" s="15" t="inlineStr">
        <is>
          <t>Commercial Clarity</t>
        </is>
      </c>
      <c r="B11" s="16" t="n">
        <v>0.2</v>
      </c>
      <c r="C11" s="17">
        <f>IF(REGIME="none",$B11,$B11*0.85)</f>
        <v/>
      </c>
      <c r="D11" s="18">
        <f>SUMIF(Checklist!$B$2:$B$107,$A11,Checklist!$L$2:$L$107)</f>
        <v/>
      </c>
      <c r="E11" s="19">
        <f>SUMIF(Checklist!$B$2:$B$107,$A11,Checklist!$K$2:$K$107)</f>
        <v/>
      </c>
      <c r="F11" s="19">
        <f>IF($D11=0,0,ROUND($E11/$D11*100,1))</f>
        <v/>
      </c>
      <c r="G11" s="20">
        <f>ROUND($C11*$F11,2)</f>
        <v/>
      </c>
      <c r="H11" s="18" t="n"/>
      <c r="I11" s="21" t="inlineStr">
        <is>
          <t>Are commercial terms machine-readable? Plans, pricing, sign-up, terms of service, privacy, finops mapping, compliance/trust.</t>
        </is>
      </c>
    </row>
    <row r="12">
      <c r="A12" s="15" t="inlineStr">
        <is>
          <t>Regulatory Posture</t>
        </is>
      </c>
      <c r="B12" s="16" t="n">
        <v>0.15</v>
      </c>
      <c r="C12" s="17">
        <f>IF(REGIME="none",0,0.15)</f>
        <v/>
      </c>
      <c r="D12" s="18">
        <f>SUMIF(Checklist!$B$2:$B$107,$A12,Checklist!$L$2:$L$107)</f>
        <v/>
      </c>
      <c r="E12" s="19">
        <f>SUMIF(Checklist!$B$2:$B$107,$A12,Checklist!$K$2:$K$107)</f>
        <v/>
      </c>
      <c r="F12" s="19">
        <f>IF($D12=0,0,ROUND($E12/$D12*100,1))</f>
        <v/>
      </c>
      <c r="G12" s="20">
        <f>ROUND($C12*$F12,2)</f>
        <v/>
      </c>
      <c r="H12" s="18" t="n"/>
      <c r="I12" s="21" t="inlineStr">
        <is>
          <t>For providers in a regulated industry ONLY: does the API publish the consent, security, legal, and standards-conformance posture its regime demands? Consent-scoped authorization (OAuth/OIDC scopes), a published security + vulnerability-disclosure posture, terms/privacy as legal basis, and evidence of conformance to the industry's data standard. Not applied to unregulated industries — see the composite math note below.</t>
        </is>
      </c>
    </row>
    <row r="13">
      <c r="A13" s="22" t="inlineStr">
        <is>
          <t>COMPOSITE — your Kin Score</t>
        </is>
      </c>
      <c r="B13" s="23" t="n"/>
      <c r="C13" s="23" t="n"/>
      <c r="D13" s="23" t="n"/>
      <c r="E13" s="23" t="n"/>
      <c r="F13" s="24">
        <f>ROUND(SUM($G$6:$G$12),1)</f>
        <v/>
      </c>
      <c r="G13" s="23" t="n"/>
    </row>
    <row r="14">
      <c r="A14" s="25" t="inlineStr">
        <is>
          <t>Band</t>
        </is>
      </c>
      <c r="F14" s="26">
        <f>IF($F$13&gt;=66,"Exemplar",IF($F$13&gt;=56,"Strong",IF($F$13&gt;=42,"Developing",IF($F$13&gt;=28,"Thin",IF($F$13&gt;=13,"Emerging","Minimal")))))</f>
        <v/>
      </c>
      <c r="I14" s="2">
        <f>VLOOKUP($F$14,Bands!$A$4:$D$9,4,FALSE)</f>
        <v/>
      </c>
    </row>
    <row r="16">
      <c r="A16" s="7" t="inlineStr">
        <is>
          <t>Where the next points are</t>
        </is>
      </c>
    </row>
    <row r="17">
      <c r="A17" s="8" t="inlineStr">
        <is>
          <t>Checks passing</t>
        </is>
      </c>
      <c r="F17" s="27">
        <f>COUNTIFS(Checklist!$F$2:$F$107,"Yes",Checklist!$G$2:$G$107,"Yes")</f>
        <v/>
      </c>
    </row>
    <row r="18">
      <c r="A18" s="8" t="inlineStr">
        <is>
          <t>Checks that apply to you</t>
        </is>
      </c>
      <c r="F18" s="27">
        <f>COUNTIF(Checklist!$F$2:$F$107,"Yes")</f>
        <v/>
      </c>
    </row>
    <row r="19">
      <c r="A19" s="8" t="inlineStr">
        <is>
          <t>Checks not applicable</t>
        </is>
      </c>
      <c r="F19" s="27">
        <f>COUNTIF(Checklist!$F$2:$F$107,"N/A")</f>
        <v/>
      </c>
    </row>
    <row r="20">
      <c r="A20" s="8" t="inlineStr">
        <is>
          <t>Composite points still on the table</t>
        </is>
      </c>
      <c r="F20" s="28">
        <f>ROUND(SUM(Checklist!$N$2:$N$107),1)</f>
        <v/>
      </c>
    </row>
    <row r="21">
      <c r="A21" s="8" t="inlineStr">
        <is>
          <t>Biggest single win</t>
        </is>
      </c>
      <c r="F21" s="29">
        <f>Priorities!$D$4</f>
        <v/>
      </c>
      <c r="I21" s="6">
        <f>IF(Priorities!$B$4="","nothing left that applies to you",Priorities!$B$4&amp;"  ("&amp;Priorities!$C$4&amp;")")</f>
        <v/>
      </c>
    </row>
    <row r="23">
      <c r="A23" s="7" t="inlineStr">
        <is>
          <t>Agent Readiness (scored separately, never blended in)</t>
        </is>
      </c>
    </row>
    <row r="24">
      <c r="A24" s="8" t="inlineStr">
        <is>
          <t>Score</t>
        </is>
      </c>
      <c r="F24" s="30">
        <f>'Agent Readiness'!$C$2</f>
        <v/>
      </c>
    </row>
    <row r="25">
      <c r="A25" s="8" t="inlineStr">
        <is>
          <t>Band</t>
        </is>
      </c>
      <c r="F25" s="28">
        <f>'Agent Readiness'!$C$3</f>
        <v/>
      </c>
      <c r="I25" s="6" t="inlineStr">
        <is>
          <t>A composite in the Strong band and a human-only Agent Readiness is a normal, and increasingly expensive, combination.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0" customWidth="1" min="3" max="3"/>
    <col width="34" customWidth="1" min="4" max="4"/>
    <col width="7" customWidth="1" min="5" max="5"/>
    <col width="9" customWidth="1" min="6" max="6"/>
    <col width="10" customWidth="1" min="7" max="7"/>
    <col width="10" customWidth="1" min="8" max="8"/>
    <col width="13" customWidth="1" min="9" max="9"/>
    <col width="8" customWidth="1" min="10" max="10"/>
    <col width="8" customWidth="1" min="11" max="11"/>
    <col width="10" customWidth="1" min="12" max="12"/>
    <col width="7" customWidth="1" min="13" max="13"/>
    <col width="12" customWidth="1" min="14" max="14"/>
    <col width="52" customWidth="1" min="15" max="15"/>
    <col width="76" customWidth="1" min="16" max="16"/>
    <col width="14" customWidth="1" min="17" max="17"/>
    <col width="12" customWidth="1" min="18" max="18"/>
    <col width="34" customWidth="1" min="19" max="19"/>
    <col hidden="1" width="10" customWidth="1" min="20" max="20"/>
    <col hidden="1" width="26" customWidth="1" min="21" max="21"/>
    <col hidden="1" width="10" customWidth="1" min="22" max="22"/>
  </cols>
  <sheetData>
    <row r="1" ht="28" customHeight="1">
      <c r="A1" s="14" t="inlineStr">
        <is>
          <t>Artifact</t>
        </is>
      </c>
      <c r="B1" s="14" t="inlineStr">
        <is>
          <t>Facet</t>
        </is>
      </c>
      <c r="C1" s="14" t="inlineStr">
        <is>
          <t>Check ID</t>
        </is>
      </c>
      <c r="D1" s="14" t="inlineStr">
        <is>
          <t>Check</t>
        </is>
      </c>
      <c r="E1" s="14" t="inlineStr">
        <is>
          <t>Points</t>
        </is>
      </c>
      <c r="F1" s="14" t="inlineStr">
        <is>
          <t>Applies</t>
        </is>
      </c>
      <c r="G1" s="14" t="inlineStr">
        <is>
          <t>Status</t>
        </is>
      </c>
      <c r="H1" s="14" t="inlineStr">
        <is>
          <t>Coverage</t>
        </is>
      </c>
      <c r="I1" s="14" t="inlineStr">
        <is>
          <t>Authorship</t>
        </is>
      </c>
      <c r="J1" s="14" t="inlineStr">
        <is>
          <t>Credit</t>
        </is>
      </c>
      <c r="K1" s="14" t="inlineStr">
        <is>
          <t>Earned</t>
        </is>
      </c>
      <c r="L1" s="14" t="inlineStr">
        <is>
          <t>Counts for</t>
        </is>
      </c>
      <c r="M1" s="14" t="inlineStr">
        <is>
          <t>Gap</t>
        </is>
      </c>
      <c r="N1" s="14" t="inlineStr">
        <is>
          <t>Worth on your score</t>
        </is>
      </c>
      <c r="O1" s="14" t="inlineStr">
        <is>
          <t>What the scorer looks for</t>
        </is>
      </c>
      <c r="P1" s="14" t="inlineStr">
        <is>
          <t>Why it matters</t>
        </is>
      </c>
      <c r="Q1" s="14" t="inlineStr">
        <is>
          <t>Owner</t>
        </is>
      </c>
      <c r="R1" s="14" t="inlineStr">
        <is>
          <t>Target</t>
        </is>
      </c>
      <c r="S1" s="14" t="inlineStr">
        <is>
          <t>Notes</t>
        </is>
      </c>
      <c r="T1" s="14" t="inlineStr">
        <is>
          <t>_gate</t>
        </is>
      </c>
      <c r="U1" s="14" t="inlineStr">
        <is>
          <t>_regimes</t>
        </is>
      </c>
      <c r="V1" s="14" t="inlineStr">
        <is>
          <t>_rank</t>
        </is>
      </c>
    </row>
    <row r="2">
      <c r="A2" s="31" t="inlineStr">
        <is>
          <t>apis.yml</t>
        </is>
      </c>
      <c r="B2" s="31" t="inlineStr">
        <is>
          <t>Discoverability</t>
        </is>
      </c>
      <c r="C2" s="32" t="inlineStr">
        <is>
          <t>apis_yml_present</t>
        </is>
      </c>
      <c r="D2" s="33" t="inlineStr">
        <is>
          <t>Publishes an apis.yml index</t>
        </is>
      </c>
      <c r="E2" s="34" t="n">
        <v>10</v>
      </c>
      <c r="F2" s="35">
        <f>IF(AND($U2&lt;&gt;"",REGIME="none"),"N/A",IF(AND($U2&lt;&gt;"",$U2&lt;&gt;"any",ISERROR(SEARCH(REGIME,$U2))),"N/A",IF(VLOOKUP($T2,GATES,2,FALSE)="Yes","Yes","N/A")))</f>
        <v/>
      </c>
      <c r="G2" s="36" t="inlineStr">
        <is>
          <t>No</t>
        </is>
      </c>
      <c r="H2" s="37" t="n"/>
      <c r="I2" s="34" t="inlineStr">
        <is>
          <t>—</t>
        </is>
      </c>
      <c r="J2" s="38">
        <f>IFERROR(VLOOKUP($I2,PROV_CREDIT,2,FALSE),1)</f>
        <v/>
      </c>
      <c r="K2" s="39">
        <f>IF($F2="N/A",0,$E2*IF(ISNUMBER($H2),MEDIAN(0,$H2,1),IF($G2="Yes",1,IF($G2="Partial",0.5,0)))*$J2)</f>
        <v/>
      </c>
      <c r="L2" s="40">
        <f>IF($F2="N/A",0,$E2)</f>
        <v/>
      </c>
      <c r="M2" s="39">
        <f>$L2-$K2</f>
        <v/>
      </c>
      <c r="N2" s="38">
        <f>IF($L2=0,0,ROUND($M2/SUMIF($B$2:$B$107,$B2,$L$2:$L$107)*100*IFERROR(VLOOKUP($B2,Scorecard!$A$6:$C$12,3,FALSE),0),2))</f>
        <v/>
      </c>
      <c r="O2" s="41" t="inlineStr">
        <is>
          <t>source_filename == "apis.yml"</t>
        </is>
      </c>
      <c r="P2" s="42" t="inlineStr">
        <is>
          <t>The provider maintains a real APIs.json index rather than being catalogued from the outside. The single highest-value discoverability signal: it is the difference between a provider describing itself and being described.</t>
        </is>
      </c>
      <c r="Q2" s="43" t="n"/>
      <c r="R2" s="44" t="n"/>
      <c r="S2" s="43" t="n"/>
      <c r="T2" s="32" t="inlineStr">
        <is>
          <t>always</t>
        </is>
      </c>
      <c r="U2" s="32" t="inlineStr"/>
      <c r="V2" s="35">
        <f>$N2-ROW()/100000</f>
        <v/>
      </c>
    </row>
    <row r="3">
      <c r="A3" s="31" t="inlineStr">
        <is>
          <t>apis.yml</t>
        </is>
      </c>
      <c r="B3" s="31" t="inlineStr">
        <is>
          <t>Discoverability</t>
        </is>
      </c>
      <c r="C3" s="32" t="inlineStr">
        <is>
          <t>description_substantive</t>
        </is>
      </c>
      <c r="D3" s="33" t="inlineStr">
        <is>
          <t>Substantive description</t>
        </is>
      </c>
      <c r="E3" s="34" t="n">
        <v>5</v>
      </c>
      <c r="F3" s="35">
        <f>IF(AND($U3&lt;&gt;"",REGIME="none"),"N/A",IF(AND($U3&lt;&gt;"",$U3&lt;&gt;"any",ISERROR(SEARCH(REGIME,$U3))),"N/A",IF(VLOOKUP($T3,GATES,2,FALSE)="Yes","Yes","N/A")))</f>
        <v/>
      </c>
      <c r="G3" s="36" t="inlineStr">
        <is>
          <t>No</t>
        </is>
      </c>
      <c r="H3" s="37" t="n"/>
      <c r="I3" s="34" t="inlineStr">
        <is>
          <t>—</t>
        </is>
      </c>
      <c r="J3" s="38">
        <f>IFERROR(VLOOKUP($I3,PROV_CREDIT,2,FALSE),1)</f>
        <v/>
      </c>
      <c r="K3" s="39">
        <f>IF($F3="N/A",0,$E3*IF(ISNUMBER($H3),MEDIAN(0,$H3,1),IF($G3="Yes",1,IF($G3="Partial",0.5,0)))*$J3)</f>
        <v/>
      </c>
      <c r="L3" s="40">
        <f>IF($F3="N/A",0,$E3)</f>
        <v/>
      </c>
      <c r="M3" s="39">
        <f>$L3-$K3</f>
        <v/>
      </c>
      <c r="N3" s="38">
        <f>IF($L3=0,0,ROUND($M3/SUMIF($B$2:$B$107,$B3,$L$2:$L$107)*100*IFERROR(VLOOKUP($B3,Scorecard!$A$6:$C$12,3,FALSE),0),2))</f>
        <v/>
      </c>
      <c r="O3" s="41" t="inlineStr">
        <is>
          <t>len(description) &gt;= 200</t>
        </is>
      </c>
      <c r="P3" s="42" t="inlineStr">
        <is>
          <t>At least 200 characters of description. Enough for a human or an agent to decide whether the API is relevant without opening the site.</t>
        </is>
      </c>
      <c r="Q3" s="43" t="n"/>
      <c r="R3" s="44" t="n"/>
      <c r="S3" s="43" t="n"/>
      <c r="T3" s="32" t="inlineStr">
        <is>
          <t>always</t>
        </is>
      </c>
      <c r="U3" s="32" t="inlineStr"/>
      <c r="V3" s="35">
        <f>$N3-ROW()/100000</f>
        <v/>
      </c>
    </row>
    <row r="4">
      <c r="A4" s="31" t="inlineStr">
        <is>
          <t>apis.yml</t>
        </is>
      </c>
      <c r="B4" s="31" t="inlineStr">
        <is>
          <t>Discoverability</t>
        </is>
      </c>
      <c r="C4" s="32" t="inlineStr">
        <is>
          <t>tags_present</t>
        </is>
      </c>
      <c r="D4" s="33" t="inlineStr">
        <is>
          <t>Tagged for discovery</t>
        </is>
      </c>
      <c r="E4" s="34" t="n">
        <v>5</v>
      </c>
      <c r="F4" s="35">
        <f>IF(AND($U4&lt;&gt;"",REGIME="none"),"N/A",IF(AND($U4&lt;&gt;"",$U4&lt;&gt;"any",ISERROR(SEARCH(REGIME,$U4))),"N/A",IF(VLOOKUP($T4,GATES,2,FALSE)="Yes","Yes","N/A")))</f>
        <v/>
      </c>
      <c r="G4" s="36" t="inlineStr">
        <is>
          <t>No</t>
        </is>
      </c>
      <c r="H4" s="37" t="n"/>
      <c r="I4" s="34" t="inlineStr">
        <is>
          <t>—</t>
        </is>
      </c>
      <c r="J4" s="38">
        <f>IFERROR(VLOOKUP($I4,PROV_CREDIT,2,FALSE),1)</f>
        <v/>
      </c>
      <c r="K4" s="39">
        <f>IF($F4="N/A",0,$E4*IF(ISNUMBER($H4),MEDIAN(0,$H4,1),IF($G4="Yes",1,IF($G4="Partial",0.5,0)))*$J4)</f>
        <v/>
      </c>
      <c r="L4" s="40">
        <f>IF($F4="N/A",0,$E4)</f>
        <v/>
      </c>
      <c r="M4" s="39">
        <f>$L4-$K4</f>
        <v/>
      </c>
      <c r="N4" s="38">
        <f>IF($L4=0,0,ROUND($M4/SUMIF($B$2:$B$107,$B4,$L$2:$L$107)*100*IFERROR(VLOOKUP($B4,Scorecard!$A$6:$C$12,3,FALSE),0),2))</f>
        <v/>
      </c>
      <c r="O4" s="41" t="inlineStr">
        <is>
          <t>len(tags) &gt;= 5</t>
        </is>
      </c>
      <c r="P4" s="42" t="inlineStr">
        <is>
          <t>Five or more tags. Tags are how the API surfaces in topical search and how it gets placed into industries and areas rather than sitting unclassified.</t>
        </is>
      </c>
      <c r="Q4" s="43" t="n"/>
      <c r="R4" s="44" t="n"/>
      <c r="S4" s="43" t="n"/>
      <c r="T4" s="32" t="inlineStr">
        <is>
          <t>always</t>
        </is>
      </c>
      <c r="U4" s="32" t="inlineStr"/>
      <c r="V4" s="35">
        <f>$N4-ROW()/100000</f>
        <v/>
      </c>
    </row>
    <row r="5">
      <c r="A5" s="31" t="inlineStr">
        <is>
          <t>apis.yml</t>
        </is>
      </c>
      <c r="B5" s="31" t="inlineStr">
        <is>
          <t>Discoverability</t>
        </is>
      </c>
      <c r="C5" s="32" t="inlineStr">
        <is>
          <t>image_present</t>
        </is>
      </c>
      <c r="D5" s="33" t="inlineStr">
        <is>
          <t>Provider image</t>
        </is>
      </c>
      <c r="E5" s="34" t="n">
        <v>2</v>
      </c>
      <c r="F5" s="35">
        <f>IF(AND($U5&lt;&gt;"",REGIME="none"),"N/A",IF(AND($U5&lt;&gt;"",$U5&lt;&gt;"any",ISERROR(SEARCH(REGIME,$U5))),"N/A",IF(VLOOKUP($T5,GATES,2,FALSE)="Yes","Yes","N/A")))</f>
        <v/>
      </c>
      <c r="G5" s="36" t="inlineStr">
        <is>
          <t>No</t>
        </is>
      </c>
      <c r="H5" s="37" t="n"/>
      <c r="I5" s="34" t="inlineStr">
        <is>
          <t>—</t>
        </is>
      </c>
      <c r="J5" s="38">
        <f>IFERROR(VLOOKUP($I5,PROV_CREDIT,2,FALSE),1)</f>
        <v/>
      </c>
      <c r="K5" s="39">
        <f>IF($F5="N/A",0,$E5*IF(ISNUMBER($H5),MEDIAN(0,$H5,1),IF($G5="Yes",1,IF($G5="Partial",0.5,0)))*$J5)</f>
        <v/>
      </c>
      <c r="L5" s="40">
        <f>IF($F5="N/A",0,$E5)</f>
        <v/>
      </c>
      <c r="M5" s="39">
        <f>$L5-$K5</f>
        <v/>
      </c>
      <c r="N5" s="38">
        <f>IF($L5=0,0,ROUND($M5/SUMIF($B$2:$B$107,$B5,$L$2:$L$107)*100*IFERROR(VLOOKUP($B5,Scorecard!$A$6:$C$12,3,FALSE),0),2))</f>
        <v/>
      </c>
      <c r="O5" s="41" t="inlineStr">
        <is>
          <t>image is set</t>
        </is>
      </c>
      <c r="P5" s="42" t="inlineStr">
        <is>
          <t>A logo or image is referenced, so the provider renders as a recognizable card in search results and listings instead of a bare line of text.</t>
        </is>
      </c>
      <c r="Q5" s="43" t="n"/>
      <c r="R5" s="44" t="n"/>
      <c r="S5" s="43" t="n"/>
      <c r="T5" s="32" t="inlineStr">
        <is>
          <t>always</t>
        </is>
      </c>
      <c r="U5" s="32" t="inlineStr"/>
      <c r="V5" s="35">
        <f>$N5-ROW()/100000</f>
        <v/>
      </c>
    </row>
    <row r="6">
      <c r="A6" s="31" t="inlineStr">
        <is>
          <t>apis.yml</t>
        </is>
      </c>
      <c r="B6" s="31" t="inlineStr">
        <is>
          <t>Discoverability</t>
        </is>
      </c>
      <c r="C6" s="32" t="inlineStr">
        <is>
          <t>maintainer_present</t>
        </is>
      </c>
      <c r="D6" s="33" t="inlineStr">
        <is>
          <t>Named maintainer</t>
        </is>
      </c>
      <c r="E6" s="34" t="n">
        <v>3</v>
      </c>
      <c r="F6" s="35">
        <f>IF(AND($U6&lt;&gt;"",REGIME="none"),"N/A",IF(AND($U6&lt;&gt;"",$U6&lt;&gt;"any",ISERROR(SEARCH(REGIME,$U6))),"N/A",IF(VLOOKUP($T6,GATES,2,FALSE)="Yes","Yes","N/A")))</f>
        <v/>
      </c>
      <c r="G6" s="36" t="inlineStr">
        <is>
          <t>No</t>
        </is>
      </c>
      <c r="H6" s="37" t="n"/>
      <c r="I6" s="34" t="inlineStr">
        <is>
          <t>—</t>
        </is>
      </c>
      <c r="J6" s="38">
        <f>IFERROR(VLOOKUP($I6,PROV_CREDIT,2,FALSE),1)</f>
        <v/>
      </c>
      <c r="K6" s="39">
        <f>IF($F6="N/A",0,$E6*IF(ISNUMBER($H6),MEDIAN(0,$H6,1),IF($G6="Yes",1,IF($G6="Partial",0.5,0)))*$J6)</f>
        <v/>
      </c>
      <c r="L6" s="40">
        <f>IF($F6="N/A",0,$E6)</f>
        <v/>
      </c>
      <c r="M6" s="39">
        <f>$L6-$K6</f>
        <v/>
      </c>
      <c r="N6" s="38">
        <f>IF($L6=0,0,ROUND($M6/SUMIF($B$2:$B$107,$B6,$L$2:$L$107)*100*IFERROR(VLOOKUP($B6,Scorecard!$A$6:$C$12,3,FALSE),0),2))</f>
        <v/>
      </c>
      <c r="O6" s="41" t="inlineStr">
        <is>
          <t>maintainers[0].email is set</t>
        </is>
      </c>
      <c r="P6" s="42" t="inlineStr">
        <is>
          <t>A contactable maintainer email. Establishes that someone owns the index and gives consumers a route to reach them.</t>
        </is>
      </c>
      <c r="Q6" s="43" t="n"/>
      <c r="R6" s="44" t="n"/>
      <c r="S6" s="43" t="n"/>
      <c r="T6" s="32" t="inlineStr">
        <is>
          <t>always</t>
        </is>
      </c>
      <c r="U6" s="32" t="inlineStr"/>
      <c r="V6" s="35">
        <f>$N6-ROW()/100000</f>
        <v/>
      </c>
    </row>
    <row r="7">
      <c r="A7" s="31" t="inlineStr">
        <is>
          <t>apis.yml</t>
        </is>
      </c>
      <c r="B7" s="31" t="inlineStr">
        <is>
          <t>Discoverability</t>
        </is>
      </c>
      <c r="C7" s="32" t="inlineStr">
        <is>
          <t>created_modified_dates</t>
        </is>
      </c>
      <c r="D7" s="33" t="inlineStr">
        <is>
          <t>Created and modified dates</t>
        </is>
      </c>
      <c r="E7" s="34" t="n">
        <v>2</v>
      </c>
      <c r="F7" s="35">
        <f>IF(AND($U7&lt;&gt;"",REGIME="none"),"N/A",IF(AND($U7&lt;&gt;"",$U7&lt;&gt;"any",ISERROR(SEARCH(REGIME,$U7))),"N/A",IF(VLOOKUP($T7,GATES,2,FALSE)="Yes","Yes","N/A")))</f>
        <v/>
      </c>
      <c r="G7" s="36" t="inlineStr">
        <is>
          <t>No</t>
        </is>
      </c>
      <c r="H7" s="37" t="n"/>
      <c r="I7" s="34" t="inlineStr">
        <is>
          <t>—</t>
        </is>
      </c>
      <c r="J7" s="38">
        <f>IFERROR(VLOOKUP($I7,PROV_CREDIT,2,FALSE),1)</f>
        <v/>
      </c>
      <c r="K7" s="39">
        <f>IF($F7="N/A",0,$E7*IF(ISNUMBER($H7),MEDIAN(0,$H7,1),IF($G7="Yes",1,IF($G7="Partial",0.5,0)))*$J7)</f>
        <v/>
      </c>
      <c r="L7" s="40">
        <f>IF($F7="N/A",0,$E7)</f>
        <v/>
      </c>
      <c r="M7" s="39">
        <f>$L7-$K7</f>
        <v/>
      </c>
      <c r="N7" s="38">
        <f>IF($L7=0,0,ROUND($M7/SUMIF($B$2:$B$107,$B7,$L$2:$L$107)*100*IFERROR(VLOOKUP($B7,Scorecard!$A$6:$C$12,3,FALSE),0),2))</f>
        <v/>
      </c>
      <c r="O7" s="41" t="inlineStr">
        <is>
          <t>created and modified both ISO dates</t>
        </is>
      </c>
      <c r="P7" s="42" t="inlineStr">
        <is>
          <t>Both timestamps present as ISO dates, so freshness is machine-readable and a consumer can tell a maintained index from an abandoned one.</t>
        </is>
      </c>
      <c r="Q7" s="43" t="n"/>
      <c r="R7" s="44" t="n"/>
      <c r="S7" s="43" t="n"/>
      <c r="T7" s="32" t="inlineStr">
        <is>
          <t>always</t>
        </is>
      </c>
      <c r="U7" s="32" t="inlineStr"/>
      <c r="V7" s="35">
        <f>$N7-ROW()/100000</f>
        <v/>
      </c>
    </row>
    <row r="8">
      <c r="A8" s="31" t="inlineStr">
        <is>
          <t>apis.yml</t>
        </is>
      </c>
      <c r="B8" s="31" t="inlineStr">
        <is>
          <t>Discoverability</t>
        </is>
      </c>
      <c r="C8" s="32" t="inlineStr">
        <is>
          <t>multiple_apis</t>
        </is>
      </c>
      <c r="D8" s="33" t="inlineStr">
        <is>
          <t>Indexes three or more APIs</t>
        </is>
      </c>
      <c r="E8" s="34" t="n">
        <v>3</v>
      </c>
      <c r="F8" s="35">
        <f>IF(AND($U8&lt;&gt;"",REGIME="none"),"N/A",IF(AND($U8&lt;&gt;"",$U8&lt;&gt;"any",ISERROR(SEARCH(REGIME,$U8))),"N/A",IF(VLOOKUP($T8,GATES,2,FALSE)="Yes","Yes","N/A")))</f>
        <v/>
      </c>
      <c r="G8" s="36" t="inlineStr">
        <is>
          <t>No</t>
        </is>
      </c>
      <c r="H8" s="37" t="n"/>
      <c r="I8" s="34" t="inlineStr">
        <is>
          <t>—</t>
        </is>
      </c>
      <c r="J8" s="38">
        <f>IFERROR(VLOOKUP($I8,PROV_CREDIT,2,FALSE),1)</f>
        <v/>
      </c>
      <c r="K8" s="39">
        <f>IF($F8="N/A",0,$E8*IF(ISNUMBER($H8),MEDIAN(0,$H8,1),IF($G8="Yes",1,IF($G8="Partial",0.5,0)))*$J8)</f>
        <v/>
      </c>
      <c r="L8" s="40">
        <f>IF($F8="N/A",0,$E8)</f>
        <v/>
      </c>
      <c r="M8" s="39">
        <f>$L8-$K8</f>
        <v/>
      </c>
      <c r="N8" s="38">
        <f>IF($L8=0,0,ROUND($M8/SUMIF($B$2:$B$107,$B8,$L$2:$L$107)*100*IFERROR(VLOOKUP($B8,Scorecard!$A$6:$C$12,3,FALSE),0),2))</f>
        <v/>
      </c>
      <c r="O8" s="41" t="inlineStr">
        <is>
          <t>api_count &gt;= 3</t>
        </is>
      </c>
      <c r="P8" s="42" t="inlineStr">
        <is>
          <t>The index covers a real surface rather than a single endpoint — evidence the provider is cataloguing their whole platform.</t>
        </is>
      </c>
      <c r="Q8" s="43" t="n"/>
      <c r="R8" s="44" t="n"/>
      <c r="S8" s="43" t="n"/>
      <c r="T8" s="32" t="inlineStr">
        <is>
          <t>always</t>
        </is>
      </c>
      <c r="U8" s="32" t="inlineStr"/>
      <c r="V8" s="35">
        <f>$N8-ROW()/100000</f>
        <v/>
      </c>
    </row>
    <row r="9">
      <c r="A9" s="31" t="inlineStr">
        <is>
          <t>apis.yml</t>
        </is>
      </c>
      <c r="B9" s="31" t="inlineStr">
        <is>
          <t>Discoverability</t>
        </is>
      </c>
      <c r="C9" s="32" t="inlineStr">
        <is>
          <t>human_url_per_api</t>
        </is>
      </c>
      <c r="D9" s="33" t="inlineStr">
        <is>
          <t>Human URL on every API</t>
        </is>
      </c>
      <c r="E9" s="34" t="n">
        <v>5</v>
      </c>
      <c r="F9" s="35">
        <f>IF(AND($U9&lt;&gt;"",REGIME="none"),"N/A",IF(AND($U9&lt;&gt;"",$U9&lt;&gt;"any",ISERROR(SEARCH(REGIME,$U9))),"N/A",IF(VLOOKUP($T9,GATES,2,FALSE)="Yes","Yes","N/A")))</f>
        <v/>
      </c>
      <c r="G9" s="36" t="inlineStr">
        <is>
          <t>No</t>
        </is>
      </c>
      <c r="H9" s="37" t="n"/>
      <c r="I9" s="34" t="inlineStr">
        <is>
          <t>—</t>
        </is>
      </c>
      <c r="J9" s="38">
        <f>IFERROR(VLOOKUP($I9,PROV_CREDIT,2,FALSE),1)</f>
        <v/>
      </c>
      <c r="K9" s="39">
        <f>IF($F9="N/A",0,$E9*IF(ISNUMBER($H9),MEDIAN(0,$H9,1),IF($G9="Yes",1,IF($G9="Partial",0.5,0)))*$J9)</f>
        <v/>
      </c>
      <c r="L9" s="40">
        <f>IF($F9="N/A",0,$E9)</f>
        <v/>
      </c>
      <c r="M9" s="39">
        <f>$L9-$K9</f>
        <v/>
      </c>
      <c r="N9" s="38">
        <f>IF($L9=0,0,ROUND($M9/SUMIF($B$2:$B$107,$B9,$L$2:$L$107)*100*IFERROR(VLOOKUP($B9,Scorecard!$A$6:$C$12,3,FALSE),0),2))</f>
        <v/>
      </c>
      <c r="O9" s="41" t="inlineStr">
        <is>
          <t>every api has humanURL</t>
        </is>
      </c>
      <c r="P9" s="42" t="inlineStr">
        <is>
          <t>Each indexed API points at documentation a person can read. Without it, an entry is a name with nowhere to go.</t>
        </is>
      </c>
      <c r="Q9" s="43" t="n"/>
      <c r="R9" s="44" t="n"/>
      <c r="S9" s="43" t="n"/>
      <c r="T9" s="32" t="inlineStr">
        <is>
          <t>always</t>
        </is>
      </c>
      <c r="U9" s="32" t="inlineStr"/>
      <c r="V9" s="35">
        <f>$N9-ROW()/100000</f>
        <v/>
      </c>
    </row>
    <row r="10">
      <c r="A10" s="31" t="inlineStr">
        <is>
          <t>apis.yml</t>
        </is>
      </c>
      <c r="B10" s="31" t="inlineStr">
        <is>
          <t>Discoverability</t>
        </is>
      </c>
      <c r="C10" s="32" t="inlineStr">
        <is>
          <t>base_url_per_api</t>
        </is>
      </c>
      <c r="D10" s="33" t="inlineStr">
        <is>
          <t>Base URL on every API</t>
        </is>
      </c>
      <c r="E10" s="34" t="n">
        <v>5</v>
      </c>
      <c r="F10" s="35">
        <f>IF(AND($U10&lt;&gt;"",REGIME="none"),"N/A",IF(AND($U10&lt;&gt;"",$U10&lt;&gt;"any",ISERROR(SEARCH(REGIME,$U10))),"N/A",IF(VLOOKUP($T10,GATES,2,FALSE)="Yes","Yes","N/A")))</f>
        <v/>
      </c>
      <c r="G10" s="36" t="inlineStr">
        <is>
          <t>No</t>
        </is>
      </c>
      <c r="H10" s="37" t="n"/>
      <c r="I10" s="34" t="inlineStr">
        <is>
          <t>—</t>
        </is>
      </c>
      <c r="J10" s="38">
        <f>IFERROR(VLOOKUP($I10,PROV_CREDIT,2,FALSE),1)</f>
        <v/>
      </c>
      <c r="K10" s="39">
        <f>IF($F10="N/A",0,$E10*IF(ISNUMBER($H10),MEDIAN(0,$H10,1),IF($G10="Yes",1,IF($G10="Partial",0.5,0)))*$J10)</f>
        <v/>
      </c>
      <c r="L10" s="40">
        <f>IF($F10="N/A",0,$E10)</f>
        <v/>
      </c>
      <c r="M10" s="39">
        <f>$L10-$K10</f>
        <v/>
      </c>
      <c r="N10" s="38">
        <f>IF($L10=0,0,ROUND($M10/SUMIF($B$2:$B$107,$B10,$L$2:$L$107)*100*IFERROR(VLOOKUP($B10,Scorecard!$A$6:$C$12,3,FALSE),0),2))</f>
        <v/>
      </c>
      <c r="O10" s="41" t="inlineStr">
        <is>
          <t>every api has baseURL and no baseURL contains "localhost"</t>
        </is>
      </c>
      <c r="P10" s="42" t="inlineStr">
        <is>
          <t>Each indexed API declares a real, callable base URL. A localhost base URL fails this check — it signals a spec that was published without ever being pointed at production.</t>
        </is>
      </c>
      <c r="Q10" s="43" t="n"/>
      <c r="R10" s="44" t="n"/>
      <c r="S10" s="43" t="n"/>
      <c r="T10" s="32" t="inlineStr">
        <is>
          <t>always</t>
        </is>
      </c>
      <c r="U10" s="32" t="inlineStr"/>
      <c r="V10" s="35">
        <f>$N10-ROW()/100000</f>
        <v/>
      </c>
    </row>
    <row r="11">
      <c r="A11" s="31" t="inlineStr">
        <is>
          <t>apis.yml</t>
        </is>
      </c>
      <c r="B11" s="31" t="inlineStr">
        <is>
          <t>Discoverability</t>
        </is>
      </c>
      <c r="C11" s="32" t="inlineStr">
        <is>
          <t>well_known_published</t>
        </is>
      </c>
      <c r="D11" s="33" t="inlineStr">
        <is>
          <t>Serves a .well-known surface</t>
        </is>
      </c>
      <c r="E11" s="34" t="n">
        <v>6</v>
      </c>
      <c r="F11" s="35">
        <f>IF(AND($U11&lt;&gt;"",REGIME="none"),"N/A",IF(AND($U11&lt;&gt;"",$U11&lt;&gt;"any",ISERROR(SEARCH(REGIME,$U11))),"N/A",IF(VLOOKUP($T11,GATES,2,FALSE)="Yes","Yes","N/A")))</f>
        <v/>
      </c>
      <c r="G11" s="36" t="inlineStr">
        <is>
          <t>No</t>
        </is>
      </c>
      <c r="H11" s="37" t="n"/>
      <c r="I11" s="34" t="inlineStr">
        <is>
          <t>—</t>
        </is>
      </c>
      <c r="J11" s="38">
        <f>IFERROR(VLOOKUP($I11,PROV_CREDIT,2,FALSE),1)</f>
        <v/>
      </c>
      <c r="K11" s="39">
        <f>IF($F11="N/A",0,$E11*IF(ISNUMBER($H11),MEDIAN(0,$H11,1),IF($G11="Yes",1,IF($G11="Partial",0.5,0)))*$J11)</f>
        <v/>
      </c>
      <c r="L11" s="40">
        <f>IF($F11="N/A",0,$E11)</f>
        <v/>
      </c>
      <c r="M11" s="39">
        <f>$L11-$K11</f>
        <v/>
      </c>
      <c r="N11" s="38">
        <f>IF($L11=0,0,ROUND($M11/SUMIF($B$2:$B$107,$B11,$L$2:$L$107)*100*IFERROR(VLOOKUP($B11,Scorecard!$A$6:$C$12,3,FALSE),0),2))</f>
        <v/>
      </c>
      <c r="O11" s="41" t="inlineStr">
        <is>
          <t>well-known/ carries an api-catalog, security.txt, or a protected-resource doc</t>
        </is>
      </c>
      <c r="P11" s="42" t="inlineStr">
        <is>
          <t>The provider serves machine entrypoints at RFC 8615 well-known paths — an api-catalog linkset (RFC 9727), a security.txt, an OAuth protected-resource document. This is the address an agent tries FIRST, before it has read anything, and it is the discoverability signal a marketing site cannot fake.</t>
        </is>
      </c>
      <c r="Q11" s="43" t="n"/>
      <c r="R11" s="44" t="n"/>
      <c r="S11" s="43" t="n"/>
      <c r="T11" s="32" t="inlineStr">
        <is>
          <t>always</t>
        </is>
      </c>
      <c r="U11" s="32" t="inlineStr"/>
      <c r="V11" s="35">
        <f>$N11-ROW()/100000</f>
        <v/>
      </c>
    </row>
    <row r="12">
      <c r="A12" s="31" t="inlineStr">
        <is>
          <t>apis.yml</t>
        </is>
      </c>
      <c r="B12" s="31" t="inlineStr">
        <is>
          <t>Discoverability</t>
        </is>
      </c>
      <c r="C12" s="32" t="inlineStr">
        <is>
          <t>llms_txt_published</t>
        </is>
      </c>
      <c r="D12" s="33" t="inlineStr">
        <is>
          <t>Publishes llms.txt</t>
        </is>
      </c>
      <c r="E12" s="34" t="n">
        <v>4</v>
      </c>
      <c r="F12" s="35">
        <f>IF(AND($U12&lt;&gt;"",REGIME="none"),"N/A",IF(AND($U12&lt;&gt;"",$U12&lt;&gt;"any",ISERROR(SEARCH(REGIME,$U12))),"N/A",IF(VLOOKUP($T12,GATES,2,FALSE)="Yes","Yes","N/A")))</f>
        <v/>
      </c>
      <c r="G12" s="36" t="inlineStr">
        <is>
          <t>No</t>
        </is>
      </c>
      <c r="H12" s="37" t="n"/>
      <c r="I12" s="34" t="inlineStr">
        <is>
          <t>—</t>
        </is>
      </c>
      <c r="J12" s="38">
        <f>IFERROR(VLOOKUP($I12,PROV_CREDIT,2,FALSE),1)</f>
        <v/>
      </c>
      <c r="K12" s="39">
        <f>IF($F12="N/A",0,$E12*IF(ISNUMBER($H12),MEDIAN(0,$H12,1),IF($G12="Yes",1,IF($G12="Partial",0.5,0)))*$J12)</f>
        <v/>
      </c>
      <c r="L12" s="40">
        <f>IF($F12="N/A",0,$E12)</f>
        <v/>
      </c>
      <c r="M12" s="39">
        <f>$L12-$K12</f>
        <v/>
      </c>
      <c r="N12" s="38">
        <f>IF($L12=0,0,ROUND($M12/SUMIF($B$2:$B$107,$B12,$L$2:$L$107)*100*IFERROR(VLOOKUP($B12,Scorecard!$A$6:$C$12,3,FALSE),0),2))</f>
        <v/>
      </c>
      <c r="O12" s="41" t="inlineStr">
        <is>
          <t>llms/ carries an llms.txt</t>
        </is>
      </c>
      <c r="P12" s="42" t="inlineStr">
        <is>
          <t>An llms.txt — the provider stating, in a machine-readable file at a conventional path, what a language model should read to understand the product. Young, unratified, and adopted by 6,012 providers in this catalog, which makes it the fastest-moving machine-discoverability signal there is.</t>
        </is>
      </c>
      <c r="Q12" s="43" t="n"/>
      <c r="R12" s="44" t="n"/>
      <c r="S12" s="43" t="n"/>
      <c r="T12" s="32" t="inlineStr">
        <is>
          <t>always</t>
        </is>
      </c>
      <c r="U12" s="32" t="inlineStr"/>
      <c r="V12" s="35">
        <f>$N12-ROW()/100000</f>
        <v/>
      </c>
    </row>
    <row r="13">
      <c r="A13" s="31" t="inlineStr">
        <is>
          <t>apis.yml</t>
        </is>
      </c>
      <c r="B13" s="31" t="inlineStr">
        <is>
          <t>Discoverability</t>
        </is>
      </c>
      <c r="C13" s="32" t="inlineStr">
        <is>
          <t>apis_json_self_hosted</t>
        </is>
      </c>
      <c r="D13" s="33" t="inlineStr">
        <is>
          <t>Self-hosts the APIs.json index</t>
        </is>
      </c>
      <c r="E13" s="34" t="n">
        <v>4</v>
      </c>
      <c r="F13" s="35">
        <f>IF(AND($U13&lt;&gt;"",REGIME="none"),"N/A",IF(AND($U13&lt;&gt;"",$U13&lt;&gt;"any",ISERROR(SEARCH(REGIME,$U13))),"N/A",IF(VLOOKUP($T13,GATES,2,FALSE)="Yes","Yes","N/A")))</f>
        <v/>
      </c>
      <c r="G13" s="36" t="inlineStr">
        <is>
          <t>No</t>
        </is>
      </c>
      <c r="H13" s="37" t="n"/>
      <c r="I13" s="34" t="inlineStr">
        <is>
          <t>—</t>
        </is>
      </c>
      <c r="J13" s="38">
        <f>IFERROR(VLOOKUP($I13,PROV_CREDIT,2,FALSE),1)</f>
        <v/>
      </c>
      <c r="K13" s="39">
        <f>IF($F13="N/A",0,$E13*IF(ISNUMBER($H13),MEDIAN(0,$H13,1),IF($G13="Yes",1,IF($G13="Partial",0.5,0)))*$J13)</f>
        <v/>
      </c>
      <c r="L13" s="40">
        <f>IF($F13="N/A",0,$E13)</f>
        <v/>
      </c>
      <c r="M13" s="39">
        <f>$L13-$K13</f>
        <v/>
      </c>
      <c r="N13" s="38">
        <f>IF($L13=0,0,ROUND($M13/SUMIF($B$2:$B$107,$B13,$L$2:$L$107)*100*IFERROR(VLOOKUP($B13,Scorecard!$A$6:$C$12,3,FALSE),0),2))</f>
        <v/>
      </c>
      <c r="O13" s="41" t="inlineStr">
        <is>
          <t>apis.yml url points at a host the provider controls, not the catalog</t>
        </is>
      </c>
      <c r="P13" s="42" t="inlineStr">
        <is>
          <t>The provider serves its own APIs.json index from its own domain rather than being catalogued from the outside. `apis_yml_present` above rewards the index existing; this rewards the provider OWNING it — the difference between describing yourself and being described.</t>
        </is>
      </c>
      <c r="Q13" s="43" t="n"/>
      <c r="R13" s="44" t="n"/>
      <c r="S13" s="43" t="n"/>
      <c r="T13" s="32" t="inlineStr">
        <is>
          <t>always</t>
        </is>
      </c>
      <c r="U13" s="32" t="inlineStr"/>
      <c r="V13" s="35">
        <f>$N13-ROW()/100000</f>
        <v/>
      </c>
    </row>
    <row r="14">
      <c r="A14" s="31" t="inlineStr">
        <is>
          <t>OpenAPI</t>
        </is>
      </c>
      <c r="B14" s="31" t="inlineStr">
        <is>
          <t>Contract Quality</t>
        </is>
      </c>
      <c r="C14" s="32" t="inlineStr">
        <is>
          <t>contract_present</t>
        </is>
      </c>
      <c r="D14" s="33" t="inlineStr">
        <is>
          <t>Publishes a machine-readable contract</t>
        </is>
      </c>
      <c r="E14" s="34" t="n">
        <v>20</v>
      </c>
      <c r="F14" s="35">
        <f>IF(AND($U14&lt;&gt;"",REGIME="none"),"N/A",IF(AND($U14&lt;&gt;"",$U14&lt;&gt;"any",ISERROR(SEARCH(REGIME,$U14))),"N/A",IF(VLOOKUP($T14,GATES,2,FALSE)="Yes","Yes","N/A")))</f>
        <v/>
      </c>
      <c r="G14" s="36" t="inlineStr">
        <is>
          <t>No</t>
        </is>
      </c>
      <c r="H14" s="37" t="n"/>
      <c r="I14" s="36" t="inlineStr">
        <is>
          <t>first-party</t>
        </is>
      </c>
      <c r="J14" s="38">
        <f>IFERROR(VLOOKUP($I14,PROV_CREDIT,2,FALSE),1)</f>
        <v/>
      </c>
      <c r="K14" s="39">
        <f>IF($F14="N/A",0,$E14*IF(ISNUMBER($H14),MEDIAN(0,$H14,1),IF($G14="Yes",1,IF($G14="Partial",0.5,0)))*$J14)</f>
        <v/>
      </c>
      <c r="L14" s="40">
        <f>IF($F14="N/A",0,$E14)</f>
        <v/>
      </c>
      <c r="M14" s="39">
        <f>$L14-$K14</f>
        <v/>
      </c>
      <c r="N14" s="38">
        <f>IF($L14=0,0,ROUND($M14/SUMIF($B$2:$B$107,$B14,$L$2:$L$107)*100*IFERROR(VLOOKUP($B14,Scorecard!$A$6:$C$12,3,FALSE),0),2))</f>
        <v/>
      </c>
      <c r="O14" s="41" t="inlineStr">
        <is>
          <t>at least one OpenAPI, AsyncAPI, GraphQL SDL or FHIR CapabilityStatement</t>
        </is>
      </c>
      <c r="P14" s="42" t="inlineStr">
        <is>
          <t>At least one machine-readable contract exists, in ANY format the ecosystem actually uses. The largest single award in the rubric, because nearly every downstream capability — SDK generation, mocking, linting, agent tool-calling — is unlocked by having a contract at all. CONTRACT-TYPE-AGNOSTIC IN 0.6, and renamed from `openapi_present` to say so. Through 0.5.1 this check read OpenAPI and AsyncAPI only, which meant entire FHIR-native, GraphQL-native and EDI-native markets were recorded as having no contract for a format the rubric simply declined to read. Epic served a 59-resource FHIR R4 CapabilityStatement — plus STU3, DSTU2 and a smart-configuration — and read `spec_presence: false`, `contract_quality: 22.6`. That was a measurement artifact, not a judgment about Epic. PROVENANCE-GRADED IN 0.6. An API-Evangelist-modeled spec credits at 0.25. A provider-served contract you can download should outrank one written on the provider's behalf, and until 0.6 they were indistinguishable.</t>
        </is>
      </c>
      <c r="Q14" s="43" t="n"/>
      <c r="R14" s="44" t="n"/>
      <c r="S14" s="43" t="n"/>
      <c r="T14" s="32" t="inlineStr">
        <is>
          <t>always</t>
        </is>
      </c>
      <c r="U14" s="32" t="inlineStr"/>
      <c r="V14" s="35">
        <f>$N14-ROW()/100000</f>
        <v/>
      </c>
    </row>
    <row r="15">
      <c r="A15" s="31" t="inlineStr">
        <is>
          <t>OpenAPI</t>
        </is>
      </c>
      <c r="B15" s="31" t="inlineStr">
        <is>
          <t>Contract Quality</t>
        </is>
      </c>
      <c r="C15" s="32" t="inlineStr">
        <is>
          <t>openapi_3_1</t>
        </is>
      </c>
      <c r="D15" s="33" t="inlineStr">
        <is>
          <t>OpenAPI 3.1</t>
        </is>
      </c>
      <c r="E15" s="34" t="n">
        <v>5</v>
      </c>
      <c r="F15" s="35">
        <f>IF(AND($U15&lt;&gt;"",REGIME="none"),"N/A",IF(AND($U15&lt;&gt;"",$U15&lt;&gt;"any",ISERROR(SEARCH(REGIME,$U15))),"N/A",IF(VLOOKUP($T15,GATES,2,FALSE)="Yes","Yes","N/A")))</f>
        <v/>
      </c>
      <c r="G15" s="36" t="inlineStr">
        <is>
          <t>No</t>
        </is>
      </c>
      <c r="H15" s="37" t="n"/>
      <c r="I15" s="36" t="inlineStr">
        <is>
          <t>first-party</t>
        </is>
      </c>
      <c r="J15" s="38">
        <f>IFERROR(VLOOKUP($I15,PROV_CREDIT,2,FALSE),1)</f>
        <v/>
      </c>
      <c r="K15" s="39">
        <f>IF($F15="N/A",0,$E15*IF(ISNUMBER($H15),MEDIAN(0,$H15,1),IF($G15="Yes",1,IF($G15="Partial",0.5,0)))*$J15)</f>
        <v/>
      </c>
      <c r="L15" s="40">
        <f>IF($F15="N/A",0,$E15)</f>
        <v/>
      </c>
      <c r="M15" s="39">
        <f>$L15-$K15</f>
        <v/>
      </c>
      <c r="N15" s="38">
        <f>IF($L15=0,0,ROUND($M15/SUMIF($B$2:$B$107,$B15,$L$2:$L$107)*100*IFERROR(VLOOKUP($B15,Scorecard!$A$6:$C$12,3,FALSE),0),2))</f>
        <v/>
      </c>
      <c r="O15" s="41" t="inlineStr">
        <is>
          <t>openapi version is 3.1.x</t>
        </is>
      </c>
      <c r="P15" s="42" t="inlineStr">
        <is>
          <t>Published against 3.1, which aligns with modern JSON Schema and supports webhooks natively. Scored above 3.0 rather than instead of it.</t>
        </is>
      </c>
      <c r="Q15" s="43" t="n"/>
      <c r="R15" s="44" t="n"/>
      <c r="S15" s="43" t="n"/>
      <c r="T15" s="32" t="inlineStr">
        <is>
          <t>openapi</t>
        </is>
      </c>
      <c r="U15" s="32" t="inlineStr"/>
      <c r="V15" s="35">
        <f>$N15-ROW()/100000</f>
        <v/>
      </c>
    </row>
    <row r="16">
      <c r="A16" s="31" t="inlineStr">
        <is>
          <t>OpenAPI</t>
        </is>
      </c>
      <c r="B16" s="31" t="inlineStr">
        <is>
          <t>Contract Quality</t>
        </is>
      </c>
      <c r="C16" s="32" t="inlineStr">
        <is>
          <t>openapi_3_0</t>
        </is>
      </c>
      <c r="D16" s="33" t="inlineStr">
        <is>
          <t>OpenAPI 3.0</t>
        </is>
      </c>
      <c r="E16" s="34" t="n">
        <v>3</v>
      </c>
      <c r="F16" s="35">
        <f>IF(AND($U16&lt;&gt;"",REGIME="none"),"N/A",IF(AND($U16&lt;&gt;"",$U16&lt;&gt;"any",ISERROR(SEARCH(REGIME,$U16))),"N/A",IF(VLOOKUP($T16,GATES,2,FALSE)="Yes","Yes","N/A")))</f>
        <v/>
      </c>
      <c r="G16" s="36" t="inlineStr">
        <is>
          <t>No</t>
        </is>
      </c>
      <c r="H16" s="37" t="n"/>
      <c r="I16" s="36" t="inlineStr">
        <is>
          <t>first-party</t>
        </is>
      </c>
      <c r="J16" s="38">
        <f>IFERROR(VLOOKUP($I16,PROV_CREDIT,2,FALSE),1)</f>
        <v/>
      </c>
      <c r="K16" s="39">
        <f>IF($F16="N/A",0,$E16*IF(ISNUMBER($H16),MEDIAN(0,$H16,1),IF($G16="Yes",1,IF($G16="Partial",0.5,0)))*$J16)</f>
        <v/>
      </c>
      <c r="L16" s="40">
        <f>IF($F16="N/A",0,$E16)</f>
        <v/>
      </c>
      <c r="M16" s="39">
        <f>$L16-$K16</f>
        <v/>
      </c>
      <c r="N16" s="38">
        <f>IF($L16=0,0,ROUND($M16/SUMIF($B$2:$B$107,$B16,$L$2:$L$107)*100*IFERROR(VLOOKUP($B16,Scorecard!$A$6:$C$12,3,FALSE),0),2))</f>
        <v/>
      </c>
      <c r="O16" s="41" t="inlineStr">
        <is>
          <t>openapi version is 3.0.x</t>
        </is>
      </c>
      <c r="P16" s="42" t="inlineStr">
        <is>
          <t>Published against 3.0. Still widely tooled and a long way ahead of Swagger 2.0, but no longer where the specification is moving.</t>
        </is>
      </c>
      <c r="Q16" s="43" t="n"/>
      <c r="R16" s="44" t="n"/>
      <c r="S16" s="43" t="n"/>
      <c r="T16" s="32" t="inlineStr">
        <is>
          <t>openapi</t>
        </is>
      </c>
      <c r="U16" s="32" t="inlineStr"/>
      <c r="V16" s="35">
        <f>$N16-ROW()/100000</f>
        <v/>
      </c>
    </row>
    <row r="17">
      <c r="A17" s="31" t="inlineStr">
        <is>
          <t>OpenAPI</t>
        </is>
      </c>
      <c r="B17" s="31" t="inlineStr">
        <is>
          <t>Contract Quality</t>
        </is>
      </c>
      <c r="C17" s="32" t="inlineStr">
        <is>
          <t>info_complete</t>
        </is>
      </c>
      <c r="D17" s="33" t="inlineStr">
        <is>
          <t>Complete info block</t>
        </is>
      </c>
      <c r="E17" s="34" t="n">
        <v>4</v>
      </c>
      <c r="F17" s="35">
        <f>IF(AND($U17&lt;&gt;"",REGIME="none"),"N/A",IF(AND($U17&lt;&gt;"",$U17&lt;&gt;"any",ISERROR(SEARCH(REGIME,$U17))),"N/A",IF(VLOOKUP($T17,GATES,2,FALSE)="Yes","Yes","N/A")))</f>
        <v/>
      </c>
      <c r="G17" s="36" t="inlineStr">
        <is>
          <t>No</t>
        </is>
      </c>
      <c r="H17" s="37" t="n"/>
      <c r="I17" s="36" t="inlineStr">
        <is>
          <t>first-party</t>
        </is>
      </c>
      <c r="J17" s="38">
        <f>IFERROR(VLOOKUP($I17,PROV_CREDIT,2,FALSE),1)</f>
        <v/>
      </c>
      <c r="K17" s="39">
        <f>IF($F17="N/A",0,$E17*IF(ISNUMBER($H17),MEDIAN(0,$H17,1),IF($G17="Yes",1,IF($G17="Partial",0.5,0)))*$J17)</f>
        <v/>
      </c>
      <c r="L17" s="40">
        <f>IF($F17="N/A",0,$E17)</f>
        <v/>
      </c>
      <c r="M17" s="39">
        <f>$L17-$K17</f>
        <v/>
      </c>
      <c r="N17" s="38">
        <f>IF($L17=0,0,ROUND($M17/SUMIF($B$2:$B$107,$B17,$L$2:$L$107)*100*IFERROR(VLOOKUP($B17,Scorecard!$A$6:$C$12,3,FALSE),0),2))</f>
        <v/>
      </c>
      <c r="O17" s="41" t="inlineStr">
        <is>
          <t>info has title, description (&gt;= 50 chars), version, contact</t>
        </is>
      </c>
      <c r="P17" s="42" t="inlineStr">
        <is>
          <t>Title, a description of real length, a version, and a contact. The metadata a consumer needs to identify and reach the API's owner.</t>
        </is>
      </c>
      <c r="Q17" s="43" t="n"/>
      <c r="R17" s="44" t="n"/>
      <c r="S17" s="43" t="n"/>
      <c r="T17" s="32" t="inlineStr">
        <is>
          <t>openapi</t>
        </is>
      </c>
      <c r="U17" s="32" t="inlineStr"/>
      <c r="V17" s="35">
        <f>$N17-ROW()/100000</f>
        <v/>
      </c>
    </row>
    <row r="18">
      <c r="A18" s="31" t="inlineStr">
        <is>
          <t>OpenAPI</t>
        </is>
      </c>
      <c r="B18" s="31" t="inlineStr">
        <is>
          <t>Contract Quality</t>
        </is>
      </c>
      <c r="C18" s="32" t="inlineStr">
        <is>
          <t>servers_defined</t>
        </is>
      </c>
      <c r="D18" s="33" t="inlineStr">
        <is>
          <t>Real servers declared</t>
        </is>
      </c>
      <c r="E18" s="34" t="n">
        <v>3</v>
      </c>
      <c r="F18" s="35">
        <f>IF(AND($U18&lt;&gt;"",REGIME="none"),"N/A",IF(AND($U18&lt;&gt;"",$U18&lt;&gt;"any",ISERROR(SEARCH(REGIME,$U18))),"N/A",IF(VLOOKUP($T18,GATES,2,FALSE)="Yes","Yes","N/A")))</f>
        <v/>
      </c>
      <c r="G18" s="36" t="inlineStr">
        <is>
          <t>No</t>
        </is>
      </c>
      <c r="H18" s="37" t="n"/>
      <c r="I18" s="36" t="inlineStr">
        <is>
          <t>first-party</t>
        </is>
      </c>
      <c r="J18" s="38">
        <f>IFERROR(VLOOKUP($I18,PROV_CREDIT,2,FALSE),1)</f>
        <v/>
      </c>
      <c r="K18" s="39">
        <f>IF($F18="N/A",0,$E18*IF(ISNUMBER($H18),MEDIAN(0,$H18,1),IF($G18="Yes",1,IF($G18="Partial",0.5,0)))*$J18)</f>
        <v/>
      </c>
      <c r="L18" s="40">
        <f>IF($F18="N/A",0,$E18)</f>
        <v/>
      </c>
      <c r="M18" s="39">
        <f>$L18-$K18</f>
        <v/>
      </c>
      <c r="N18" s="38">
        <f>IF($L18=0,0,ROUND($M18/SUMIF($B$2:$B$107,$B18,$L$2:$L$107)*100*IFERROR(VLOOKUP($B18,Scorecard!$A$6:$C$12,3,FALSE),0),2))</f>
        <v/>
      </c>
      <c r="O18" s="41" t="inlineStr">
        <is>
          <t>servers[] non-empty and not localhost</t>
        </is>
      </c>
      <c r="P18" s="42" t="inlineStr">
        <is>
          <t>The spec points at a callable host. A localhost server fails — a contract you cannot call is documentation, not an interface.</t>
        </is>
      </c>
      <c r="Q18" s="43" t="n"/>
      <c r="R18" s="44" t="n"/>
      <c r="S18" s="43" t="n"/>
      <c r="T18" s="32" t="inlineStr">
        <is>
          <t>openapi</t>
        </is>
      </c>
      <c r="U18" s="32" t="inlineStr"/>
      <c r="V18" s="35">
        <f>$N18-ROW()/100000</f>
        <v/>
      </c>
    </row>
    <row r="19">
      <c r="A19" s="31" t="inlineStr">
        <is>
          <t>OpenAPI</t>
        </is>
      </c>
      <c r="B19" s="31" t="inlineStr">
        <is>
          <t>Contract Quality</t>
        </is>
      </c>
      <c r="C19" s="32" t="inlineStr">
        <is>
          <t>servers_resolvable</t>
        </is>
      </c>
      <c r="D19" s="33" t="inlineStr">
        <is>
          <t>Servers resolve to a real host</t>
        </is>
      </c>
      <c r="E19" s="34" t="n">
        <v>5</v>
      </c>
      <c r="F19" s="35">
        <f>IF(AND($U19&lt;&gt;"",REGIME="none"),"N/A",IF(AND($U19&lt;&gt;"",$U19&lt;&gt;"any",ISERROR(SEARCH(REGIME,$U19))),"N/A",IF(VLOOKUP($T19,GATES,2,FALSE)="Yes","Yes","N/A")))</f>
        <v/>
      </c>
      <c r="G19" s="36" t="inlineStr">
        <is>
          <t>No</t>
        </is>
      </c>
      <c r="H19" s="37" t="n"/>
      <c r="I19" s="36" t="inlineStr">
        <is>
          <t>first-party</t>
        </is>
      </c>
      <c r="J19" s="38">
        <f>IFERROR(VLOOKUP($I19,PROV_CREDIT,2,FALSE),1)</f>
        <v/>
      </c>
      <c r="K19" s="39">
        <f>IF($F19="N/A",0,$E19*IF(ISNUMBER($H19),MEDIAN(0,$H19,1),IF($G19="Yes",1,IF($G19="Partial",0.5,0)))*$J19)</f>
        <v/>
      </c>
      <c r="L19" s="40">
        <f>IF($F19="N/A",0,$E19)</f>
        <v/>
      </c>
      <c r="M19" s="39">
        <f>$L19-$K19</f>
        <v/>
      </c>
      <c r="N19" s="38">
        <f>IF($L19=0,0,ROUND($M19/SUMIF($B$2:$B$107,$B19,$L$2:$L$107)*100*IFERROR(VLOOKUP($B19,Scorecard!$A$6:$C$12,3,FALSE),0),2))</f>
        <v/>
      </c>
      <c r="O19" s="41" t="inlineStr">
        <is>
          <t>share of specs whose servers[].url carries a registrable domain, not a placeholder host or a bare template variable</t>
        </is>
      </c>
      <c r="P19" s="42" t="inlineStr">
        <is>
          <t>NEW IN 0.6. A specification can be genuinely provider-published, verbatim, and still be uncallable. Every CAMARA server declaration in the entire telecom stack is the template variable `{apiRoot}` and every openIdConnectUrl is a CAMARA placeholder pointing at example.com — across 19 standards and exposure repositories there was exactly one absolute base URL. Insurance produced the same defect from the other direction: Majesco declares api.majesco.example.com and ACORD api.insurer-internal.example.com. The rubric scored all of it as full contract quality. Graded on the SHARE of a provider's specs that carry a resolvable host, so a provider with one placeholder spec among twenty is not treated like one whose entire surface is uncallable. Catalog-wide at 0.6: 10,950 of 87,612 specs are uncallable as published, and 834 providers hold no spec with a resolvable host at all. The distinction that took care to get right: a TEMPLATED host that still carries a real domain — `https://{region}.api.acme.com`, or Yardi's `https://{server}.yardi.com/{clientUrl}/webservices` — passes. A consumer with the variable filled in reaches a host that exists. Only a host that is nothing but substitution variables, or a known placeholder domain, fails. A naive "contains a brace" test would have failed a large share of perfectly callable multi-region specs, and a naive full-text grep for example.com over the catalog returned 4,320 false positives, because real specs mention example.com in their EXAMPLES. This check parses the `servers` block specifically.</t>
        </is>
      </c>
      <c r="Q19" s="43" t="n"/>
      <c r="R19" s="44" t="n"/>
      <c r="S19" s="43" t="n"/>
      <c r="T19" s="32" t="inlineStr">
        <is>
          <t>always</t>
        </is>
      </c>
      <c r="U19" s="32" t="inlineStr"/>
      <c r="V19" s="35">
        <f>$N19-ROW()/100000</f>
        <v/>
      </c>
    </row>
    <row r="20">
      <c r="A20" s="31" t="inlineStr">
        <is>
          <t>OpenAPI</t>
        </is>
      </c>
      <c r="B20" s="31" t="inlineStr">
        <is>
          <t>Contract Quality</t>
        </is>
      </c>
      <c r="C20" s="32" t="inlineStr">
        <is>
          <t>operations_summary_coverage</t>
        </is>
      </c>
      <c r="D20" s="33" t="inlineStr">
        <is>
          <t>Operations have summaries</t>
        </is>
      </c>
      <c r="E20" s="34" t="n">
        <v>6</v>
      </c>
      <c r="F20" s="35">
        <f>IF(AND($U20&lt;&gt;"",REGIME="none"),"N/A",IF(AND($U20&lt;&gt;"",$U20&lt;&gt;"any",ISERROR(SEARCH(REGIME,$U20))),"N/A",IF(VLOOKUP($T20,GATES,2,FALSE)="Yes","Yes","N/A")))</f>
        <v/>
      </c>
      <c r="G20" s="36" t="inlineStr">
        <is>
          <t>No</t>
        </is>
      </c>
      <c r="H20" s="37" t="n"/>
      <c r="I20" s="36" t="inlineStr">
        <is>
          <t>first-party</t>
        </is>
      </c>
      <c r="J20" s="38">
        <f>IFERROR(VLOOKUP($I20,PROV_CREDIT,2,FALSE),1)</f>
        <v/>
      </c>
      <c r="K20" s="39">
        <f>IF($F20="N/A",0,$E20*IF(ISNUMBER($H20),MEDIAN(0,$H20,1),IF($G20="Yes",1,IF($G20="Partial",0.5,0)))*$J20)</f>
        <v/>
      </c>
      <c r="L20" s="40">
        <f>IF($F20="N/A",0,$E20)</f>
        <v/>
      </c>
      <c r="M20" s="39">
        <f>$L20-$K20</f>
        <v/>
      </c>
      <c r="N20" s="38">
        <f>IF($L20=0,0,ROUND($M20/SUMIF($B$2:$B$107,$B20,$L$2:$L$107)*100*IFERROR(VLOOKUP($B20,Scorecard!$A$6:$C$12,3,FALSE),0),2))</f>
        <v/>
      </c>
      <c r="O20" s="41" t="inlineStr">
        <is>
          <t>&gt;= 80% of operations have summary</t>
        </is>
      </c>
      <c r="P20" s="42" t="inlineStr">
        <is>
          <t>At least 80% of operations carry a summary. Summaries are what render in reference docs and what an agent reads to pick the right operation.</t>
        </is>
      </c>
      <c r="Q20" s="43" t="n"/>
      <c r="R20" s="44" t="n"/>
      <c r="S20" s="43" t="n"/>
      <c r="T20" s="32" t="inlineStr">
        <is>
          <t>openapi</t>
        </is>
      </c>
      <c r="U20" s="32" t="inlineStr"/>
      <c r="V20" s="35">
        <f>$N20-ROW()/100000</f>
        <v/>
      </c>
    </row>
    <row r="21">
      <c r="A21" s="31" t="inlineStr">
        <is>
          <t>OpenAPI</t>
        </is>
      </c>
      <c r="B21" s="31" t="inlineStr">
        <is>
          <t>Contract Quality</t>
        </is>
      </c>
      <c r="C21" s="32" t="inlineStr">
        <is>
          <t>operations_description_coverage</t>
        </is>
      </c>
      <c r="D21" s="33" t="inlineStr">
        <is>
          <t>Operations have descriptions</t>
        </is>
      </c>
      <c r="E21" s="34" t="n">
        <v>6</v>
      </c>
      <c r="F21" s="35">
        <f>IF(AND($U21&lt;&gt;"",REGIME="none"),"N/A",IF(AND($U21&lt;&gt;"",$U21&lt;&gt;"any",ISERROR(SEARCH(REGIME,$U21))),"N/A",IF(VLOOKUP($T21,GATES,2,FALSE)="Yes","Yes","N/A")))</f>
        <v/>
      </c>
      <c r="G21" s="36" t="inlineStr">
        <is>
          <t>No</t>
        </is>
      </c>
      <c r="H21" s="37" t="n"/>
      <c r="I21" s="36" t="inlineStr">
        <is>
          <t>first-party</t>
        </is>
      </c>
      <c r="J21" s="38">
        <f>IFERROR(VLOOKUP($I21,PROV_CREDIT,2,FALSE),1)</f>
        <v/>
      </c>
      <c r="K21" s="39">
        <f>IF($F21="N/A",0,$E21*IF(ISNUMBER($H21),MEDIAN(0,$H21,1),IF($G21="Yes",1,IF($G21="Partial",0.5,0)))*$J21)</f>
        <v/>
      </c>
      <c r="L21" s="40">
        <f>IF($F21="N/A",0,$E21)</f>
        <v/>
      </c>
      <c r="M21" s="39">
        <f>$L21-$K21</f>
        <v/>
      </c>
      <c r="N21" s="38">
        <f>IF($L21=0,0,ROUND($M21/SUMIF($B$2:$B$107,$B21,$L$2:$L$107)*100*IFERROR(VLOOKUP($B21,Scorecard!$A$6:$C$12,3,FALSE),0),2))</f>
        <v/>
      </c>
      <c r="O21" s="41" t="inlineStr">
        <is>
          <t>&gt;= 80% of operations have description</t>
        </is>
      </c>
      <c r="P21" s="42" t="inlineStr">
        <is>
          <t>At least 80% of operations carry a description. The difference between knowing an operation's name and knowing what it does.</t>
        </is>
      </c>
      <c r="Q21" s="43" t="n"/>
      <c r="R21" s="44" t="n"/>
      <c r="S21" s="43" t="n"/>
      <c r="T21" s="32" t="inlineStr">
        <is>
          <t>openapi</t>
        </is>
      </c>
      <c r="U21" s="32" t="inlineStr"/>
      <c r="V21" s="35">
        <f>$N21-ROW()/100000</f>
        <v/>
      </c>
    </row>
    <row r="22">
      <c r="A22" s="31" t="inlineStr">
        <is>
          <t>OpenAPI</t>
        </is>
      </c>
      <c r="B22" s="31" t="inlineStr">
        <is>
          <t>Contract Quality</t>
        </is>
      </c>
      <c r="C22" s="32" t="inlineStr">
        <is>
          <t>operations_tagged</t>
        </is>
      </c>
      <c r="D22" s="33" t="inlineStr">
        <is>
          <t>Operations are tagged</t>
        </is>
      </c>
      <c r="E22" s="34" t="n">
        <v>4</v>
      </c>
      <c r="F22" s="35">
        <f>IF(AND($U22&lt;&gt;"",REGIME="none"),"N/A",IF(AND($U22&lt;&gt;"",$U22&lt;&gt;"any",ISERROR(SEARCH(REGIME,$U22))),"N/A",IF(VLOOKUP($T22,GATES,2,FALSE)="Yes","Yes","N/A")))</f>
        <v/>
      </c>
      <c r="G22" s="36" t="inlineStr">
        <is>
          <t>No</t>
        </is>
      </c>
      <c r="H22" s="37" t="n"/>
      <c r="I22" s="36" t="inlineStr">
        <is>
          <t>first-party</t>
        </is>
      </c>
      <c r="J22" s="38">
        <f>IFERROR(VLOOKUP($I22,PROV_CREDIT,2,FALSE),1)</f>
        <v/>
      </c>
      <c r="K22" s="39">
        <f>IF($F22="N/A",0,$E22*IF(ISNUMBER($H22),MEDIAN(0,$H22,1),IF($G22="Yes",1,IF($G22="Partial",0.5,0)))*$J22)</f>
        <v/>
      </c>
      <c r="L22" s="40">
        <f>IF($F22="N/A",0,$E22)</f>
        <v/>
      </c>
      <c r="M22" s="39">
        <f>$L22-$K22</f>
        <v/>
      </c>
      <c r="N22" s="38">
        <f>IF($L22=0,0,ROUND($M22/SUMIF($B$2:$B$107,$B22,$L$2:$L$107)*100*IFERROR(VLOOKUP($B22,Scorecard!$A$6:$C$12,3,FALSE),0),2))</f>
        <v/>
      </c>
      <c r="O22" s="41" t="inlineStr">
        <is>
          <t>&gt;= 80% of operations have tags</t>
        </is>
      </c>
      <c r="P22" s="42" t="inlineStr">
        <is>
          <t>At least 80% of operations are tagged, which is what groups a reference into navigable sections instead of one flat list of endpoints.</t>
        </is>
      </c>
      <c r="Q22" s="43" t="n"/>
      <c r="R22" s="44" t="n"/>
      <c r="S22" s="43" t="n"/>
      <c r="T22" s="32" t="inlineStr">
        <is>
          <t>openapi</t>
        </is>
      </c>
      <c r="U22" s="32" t="inlineStr"/>
      <c r="V22" s="35">
        <f>$N22-ROW()/100000</f>
        <v/>
      </c>
    </row>
    <row r="23">
      <c r="A23" s="31" t="inlineStr">
        <is>
          <t>OpenAPI</t>
        </is>
      </c>
      <c r="B23" s="31" t="inlineStr">
        <is>
          <t>Contract Quality</t>
        </is>
      </c>
      <c r="C23" s="32" t="inlineStr">
        <is>
          <t>operations_operation_ids</t>
        </is>
      </c>
      <c r="D23" s="33" t="inlineStr">
        <is>
          <t>Unique operationIds</t>
        </is>
      </c>
      <c r="E23" s="34" t="n">
        <v>4</v>
      </c>
      <c r="F23" s="35">
        <f>IF(AND($U23&lt;&gt;"",REGIME="none"),"N/A",IF(AND($U23&lt;&gt;"",$U23&lt;&gt;"any",ISERROR(SEARCH(REGIME,$U23))),"N/A",IF(VLOOKUP($T23,GATES,2,FALSE)="Yes","Yes","N/A")))</f>
        <v/>
      </c>
      <c r="G23" s="36" t="inlineStr">
        <is>
          <t>No</t>
        </is>
      </c>
      <c r="H23" s="37" t="n"/>
      <c r="I23" s="36" t="inlineStr">
        <is>
          <t>first-party</t>
        </is>
      </c>
      <c r="J23" s="38">
        <f>IFERROR(VLOOKUP($I23,PROV_CREDIT,2,FALSE),1)</f>
        <v/>
      </c>
      <c r="K23" s="39">
        <f>IF($F23="N/A",0,$E23*IF(ISNUMBER($H23),MEDIAN(0,$H23,1),IF($G23="Yes",1,IF($G23="Partial",0.5,0)))*$J23)</f>
        <v/>
      </c>
      <c r="L23" s="40">
        <f>IF($F23="N/A",0,$E23)</f>
        <v/>
      </c>
      <c r="M23" s="39">
        <f>$L23-$K23</f>
        <v/>
      </c>
      <c r="N23" s="38">
        <f>IF($L23=0,0,ROUND($M23/SUMIF($B$2:$B$107,$B23,$L$2:$L$107)*100*IFERROR(VLOOKUP($B23,Scorecard!$A$6:$C$12,3,FALSE),0),2))</f>
        <v/>
      </c>
      <c r="O23" s="41" t="inlineStr">
        <is>
          <t>100% of operations have unique operationId</t>
        </is>
      </c>
      <c r="P23" s="42" t="inlineStr">
        <is>
          <t>Every operation has a unique operationId. Required for clean SDK method names and stable agent tool names; duplicates silently break both.</t>
        </is>
      </c>
      <c r="Q23" s="43" t="n"/>
      <c r="R23" s="44" t="n"/>
      <c r="S23" s="43" t="n"/>
      <c r="T23" s="32" t="inlineStr">
        <is>
          <t>openapi</t>
        </is>
      </c>
      <c r="U23" s="32" t="inlineStr"/>
      <c r="V23" s="35">
        <f>$N23-ROW()/100000</f>
        <v/>
      </c>
    </row>
    <row r="24">
      <c r="A24" s="31" t="inlineStr">
        <is>
          <t>OpenAPI</t>
        </is>
      </c>
      <c r="B24" s="31" t="inlineStr">
        <is>
          <t>Contract Quality</t>
        </is>
      </c>
      <c r="C24" s="32" t="inlineStr">
        <is>
          <t>response_coverage</t>
        </is>
      </c>
      <c r="D24" s="33" t="inlineStr">
        <is>
          <t>Success responses defined</t>
        </is>
      </c>
      <c r="E24" s="34" t="n">
        <v>5</v>
      </c>
      <c r="F24" s="35">
        <f>IF(AND($U24&lt;&gt;"",REGIME="none"),"N/A",IF(AND($U24&lt;&gt;"",$U24&lt;&gt;"any",ISERROR(SEARCH(REGIME,$U24))),"N/A",IF(VLOOKUP($T24,GATES,2,FALSE)="Yes","Yes","N/A")))</f>
        <v/>
      </c>
      <c r="G24" s="36" t="inlineStr">
        <is>
          <t>No</t>
        </is>
      </c>
      <c r="H24" s="37" t="n"/>
      <c r="I24" s="36" t="inlineStr">
        <is>
          <t>first-party</t>
        </is>
      </c>
      <c r="J24" s="38">
        <f>IFERROR(VLOOKUP($I24,PROV_CREDIT,2,FALSE),1)</f>
        <v/>
      </c>
      <c r="K24" s="39">
        <f>IF($F24="N/A",0,$E24*IF(ISNUMBER($H24),MEDIAN(0,$H24,1),IF($G24="Yes",1,IF($G24="Partial",0.5,0)))*$J24)</f>
        <v/>
      </c>
      <c r="L24" s="40">
        <f>IF($F24="N/A",0,$E24)</f>
        <v/>
      </c>
      <c r="M24" s="39">
        <f>$L24-$K24</f>
        <v/>
      </c>
      <c r="N24" s="38">
        <f>IF($L24=0,0,ROUND($M24/SUMIF($B$2:$B$107,$B24,$L$2:$L$107)*100*IFERROR(VLOOKUP($B24,Scorecard!$A$6:$C$12,3,FALSE),0),2))</f>
        <v/>
      </c>
      <c r="O24" s="41" t="inlineStr">
        <is>
          <t>every operation defines &gt;= one 2xx response</t>
        </is>
      </c>
      <c r="P24" s="42" t="inlineStr">
        <is>
          <t>Every operation documents at least one success response, so a consumer knows the shape of what they get back.</t>
        </is>
      </c>
      <c r="Q24" s="43" t="n"/>
      <c r="R24" s="44" t="n"/>
      <c r="S24" s="43" t="n"/>
      <c r="T24" s="32" t="inlineStr">
        <is>
          <t>openapi</t>
        </is>
      </c>
      <c r="U24" s="32" t="inlineStr"/>
      <c r="V24" s="35">
        <f>$N24-ROW()/100000</f>
        <v/>
      </c>
    </row>
    <row r="25">
      <c r="A25" s="31" t="inlineStr">
        <is>
          <t>OpenAPI</t>
        </is>
      </c>
      <c r="B25" s="31" t="inlineStr">
        <is>
          <t>Contract Quality</t>
        </is>
      </c>
      <c r="C25" s="32" t="inlineStr">
        <is>
          <t>error_responses_documented</t>
        </is>
      </c>
      <c r="D25" s="33" t="inlineStr">
        <is>
          <t>Error responses documented</t>
        </is>
      </c>
      <c r="E25" s="34" t="n">
        <v>4</v>
      </c>
      <c r="F25" s="35">
        <f>IF(AND($U25&lt;&gt;"",REGIME="none"),"N/A",IF(AND($U25&lt;&gt;"",$U25&lt;&gt;"any",ISERROR(SEARCH(REGIME,$U25))),"N/A",IF(VLOOKUP($T25,GATES,2,FALSE)="Yes","Yes","N/A")))</f>
        <v/>
      </c>
      <c r="G25" s="36" t="inlineStr">
        <is>
          <t>No</t>
        </is>
      </c>
      <c r="H25" s="37" t="n"/>
      <c r="I25" s="36" t="inlineStr">
        <is>
          <t>first-party</t>
        </is>
      </c>
      <c r="J25" s="38">
        <f>IFERROR(VLOOKUP($I25,PROV_CREDIT,2,FALSE),1)</f>
        <v/>
      </c>
      <c r="K25" s="39">
        <f>IF($F25="N/A",0,$E25*IF(ISNUMBER($H25),MEDIAN(0,$H25,1),IF($G25="Yes",1,IF($G25="Partial",0.5,0)))*$J25)</f>
        <v/>
      </c>
      <c r="L25" s="40">
        <f>IF($F25="N/A",0,$E25)</f>
        <v/>
      </c>
      <c r="M25" s="39">
        <f>$L25-$K25</f>
        <v/>
      </c>
      <c r="N25" s="38">
        <f>IF($L25=0,0,ROUND($M25/SUMIF($B$2:$B$107,$B25,$L$2:$L$107)*100*IFERROR(VLOOKUP($B25,Scorecard!$A$6:$C$12,3,FALSE),0),2))</f>
        <v/>
      </c>
      <c r="O25" s="41" t="inlineStr">
        <is>
          <t>&gt;= 50% of operations define a 4xx response schema</t>
        </is>
      </c>
      <c r="P25" s="42" t="inlineStr">
        <is>
          <t>At least half of operations document a 4xx response schema. The most commonly skipped part of a contract, and the part integrators need most when things go wrong.</t>
        </is>
      </c>
      <c r="Q25" s="43" t="n"/>
      <c r="R25" s="44" t="n"/>
      <c r="S25" s="43" t="n"/>
      <c r="T25" s="32" t="inlineStr">
        <is>
          <t>openapi</t>
        </is>
      </c>
      <c r="U25" s="32" t="inlineStr"/>
      <c r="V25" s="35">
        <f>$N25-ROW()/100000</f>
        <v/>
      </c>
    </row>
    <row r="26">
      <c r="A26" s="31" t="inlineStr">
        <is>
          <t>OpenAPI</t>
        </is>
      </c>
      <c r="B26" s="31" t="inlineStr">
        <is>
          <t>Contract Quality</t>
        </is>
      </c>
      <c r="C26" s="32" t="inlineStr">
        <is>
          <t>examples_present</t>
        </is>
      </c>
      <c r="D26" s="33" t="inlineStr">
        <is>
          <t>Examples present</t>
        </is>
      </c>
      <c r="E26" s="34" t="n">
        <v>4</v>
      </c>
      <c r="F26" s="35">
        <f>IF(AND($U26&lt;&gt;"",REGIME="none"),"N/A",IF(AND($U26&lt;&gt;"",$U26&lt;&gt;"any",ISERROR(SEARCH(REGIME,$U26))),"N/A",IF(VLOOKUP($T26,GATES,2,FALSE)="Yes","Yes","N/A")))</f>
        <v/>
      </c>
      <c r="G26" s="36" t="inlineStr">
        <is>
          <t>No</t>
        </is>
      </c>
      <c r="H26" s="37" t="n"/>
      <c r="I26" s="36" t="inlineStr">
        <is>
          <t>first-party</t>
        </is>
      </c>
      <c r="J26" s="38">
        <f>IFERROR(VLOOKUP($I26,PROV_CREDIT,2,FALSE),1)</f>
        <v/>
      </c>
      <c r="K26" s="39">
        <f>IF($F26="N/A",0,$E26*IF(ISNUMBER($H26),MEDIAN(0,$H26,1),IF($G26="Yes",1,IF($G26="Partial",0.5,0)))*$J26)</f>
        <v/>
      </c>
      <c r="L26" s="40">
        <f>IF($F26="N/A",0,$E26)</f>
        <v/>
      </c>
      <c r="M26" s="39">
        <f>$L26-$K26</f>
        <v/>
      </c>
      <c r="N26" s="38">
        <f>IF($L26=0,0,ROUND($M26/SUMIF($B$2:$B$107,$B26,$L$2:$L$107)*100*IFERROR(VLOOKUP($B26,Scorecard!$A$6:$C$12,3,FALSE),0),2))</f>
        <v/>
      </c>
      <c r="O26" s="41" t="inlineStr">
        <is>
          <t>share of operations carrying a request or response example</t>
        </is>
      </c>
      <c r="P26" s="42" t="inlineStr">
        <is>
          <t>GRADED IN 0.6, previously a bit. As a boolean this check fired on a single token example anywhere in the document, which meant it ran near-universally across payments and healthcare and carried almost no information. It now grades on the SHARE of operations that actually carry a request or response example, so a provider who documents every operation outscores one who documented a single one. Examples are the cheapest way an agent learns a payload shape before it ever makes a call, and "the spec contains the string example:" was never evidence of that.</t>
        </is>
      </c>
      <c r="Q26" s="43" t="n"/>
      <c r="R26" s="44" t="n"/>
      <c r="S26" s="43" t="n"/>
      <c r="T26" s="32" t="inlineStr">
        <is>
          <t>always</t>
        </is>
      </c>
      <c r="U26" s="32" t="inlineStr"/>
      <c r="V26" s="35">
        <f>$N26-ROW()/100000</f>
        <v/>
      </c>
    </row>
    <row r="27">
      <c r="A27" s="31" t="inlineStr">
        <is>
          <t>OpenAPI</t>
        </is>
      </c>
      <c r="B27" s="31" t="inlineStr">
        <is>
          <t>Contract Quality</t>
        </is>
      </c>
      <c r="C27" s="32" t="inlineStr">
        <is>
          <t>components_reuse</t>
        </is>
      </c>
      <c r="D27" s="33" t="inlineStr">
        <is>
          <t>Reusable components</t>
        </is>
      </c>
      <c r="E27" s="34" t="n">
        <v>3</v>
      </c>
      <c r="F27" s="35">
        <f>IF(AND($U27&lt;&gt;"",REGIME="none"),"N/A",IF(AND($U27&lt;&gt;"",$U27&lt;&gt;"any",ISERROR(SEARCH(REGIME,$U27))),"N/A",IF(VLOOKUP($T27,GATES,2,FALSE)="Yes","Yes","N/A")))</f>
        <v/>
      </c>
      <c r="G27" s="36" t="inlineStr">
        <is>
          <t>No</t>
        </is>
      </c>
      <c r="H27" s="37" t="n"/>
      <c r="I27" s="36" t="inlineStr">
        <is>
          <t>first-party</t>
        </is>
      </c>
      <c r="J27" s="38">
        <f>IFERROR(VLOOKUP($I27,PROV_CREDIT,2,FALSE),1)</f>
        <v/>
      </c>
      <c r="K27" s="39">
        <f>IF($F27="N/A",0,$E27*IF(ISNUMBER($H27),MEDIAN(0,$H27,1),IF($G27="Yes",1,IF($G27="Partial",0.5,0)))*$J27)</f>
        <v/>
      </c>
      <c r="L27" s="40">
        <f>IF($F27="N/A",0,$E27)</f>
        <v/>
      </c>
      <c r="M27" s="39">
        <f>$L27-$K27</f>
        <v/>
      </c>
      <c r="N27" s="38">
        <f>IF($L27=0,0,ROUND($M27/SUMIF($B$2:$B$107,$B27,$L$2:$L$107)*100*IFERROR(VLOOKUP($B27,Scorecard!$A$6:$C$12,3,FALSE),0),2))</f>
        <v/>
      </c>
      <c r="O27" s="41" t="inlineStr">
        <is>
          <t>components.schemas count &gt;= 5 and used via $ref</t>
        </is>
      </c>
      <c r="P27" s="42" t="inlineStr">
        <is>
          <t>Five or more component schemas, actually referenced via $ref. Evidence the spec is modelled rather than copy-pasted per endpoint.</t>
        </is>
      </c>
      <c r="Q27" s="43" t="n"/>
      <c r="R27" s="44" t="n"/>
      <c r="S27" s="43" t="n"/>
      <c r="T27" s="32" t="inlineStr">
        <is>
          <t>openapi</t>
        </is>
      </c>
      <c r="U27" s="32" t="inlineStr"/>
      <c r="V27" s="35">
        <f>$N27-ROW()/100000</f>
        <v/>
      </c>
    </row>
    <row r="28">
      <c r="A28" s="31" t="inlineStr">
        <is>
          <t>OpenAPI</t>
        </is>
      </c>
      <c r="B28" s="31" t="inlineStr">
        <is>
          <t>Contract Quality</t>
        </is>
      </c>
      <c r="C28" s="32" t="inlineStr">
        <is>
          <t>security_schemes_defined</t>
        </is>
      </c>
      <c r="D28" s="33" t="inlineStr">
        <is>
          <t>Security schemes defined</t>
        </is>
      </c>
      <c r="E28" s="34" t="n">
        <v>4</v>
      </c>
      <c r="F28" s="35">
        <f>IF(AND($U28&lt;&gt;"",REGIME="none"),"N/A",IF(AND($U28&lt;&gt;"",$U28&lt;&gt;"any",ISERROR(SEARCH(REGIME,$U28))),"N/A",IF(VLOOKUP($T28,GATES,2,FALSE)="Yes","Yes","N/A")))</f>
        <v/>
      </c>
      <c r="G28" s="36" t="inlineStr">
        <is>
          <t>No</t>
        </is>
      </c>
      <c r="H28" s="37" t="n"/>
      <c r="I28" s="36" t="inlineStr">
        <is>
          <t>first-party</t>
        </is>
      </c>
      <c r="J28" s="38">
        <f>IFERROR(VLOOKUP($I28,PROV_CREDIT,2,FALSE),1)</f>
        <v/>
      </c>
      <c r="K28" s="39">
        <f>IF($F28="N/A",0,$E28*IF(ISNUMBER($H28),MEDIAN(0,$H28,1),IF($G28="Yes",1,IF($G28="Partial",0.5,0)))*$J28)</f>
        <v/>
      </c>
      <c r="L28" s="40">
        <f>IF($F28="N/A",0,$E28)</f>
        <v/>
      </c>
      <c r="M28" s="39">
        <f>$L28-$K28</f>
        <v/>
      </c>
      <c r="N28" s="38">
        <f>IF($L28=0,0,ROUND($M28/SUMIF($B$2:$B$107,$B28,$L$2:$L$107)*100*IFERROR(VLOOKUP($B28,Scorecard!$A$6:$C$12,3,FALSE),0),2))</f>
        <v/>
      </c>
      <c r="O28" s="41" t="inlineStr">
        <is>
          <t>components.securitySchemes non-empty</t>
        </is>
      </c>
      <c r="P28" s="42" t="inlineStr">
        <is>
          <t>The spec declares how authentication works, so a consumer can authenticate from the contract without hunting through prose docs.</t>
        </is>
      </c>
      <c r="Q28" s="43" t="n"/>
      <c r="R28" s="44" t="n"/>
      <c r="S28" s="43" t="n"/>
      <c r="T28" s="32" t="inlineStr">
        <is>
          <t>openapi</t>
        </is>
      </c>
      <c r="U28" s="32" t="inlineStr"/>
      <c r="V28" s="35">
        <f>$N28-ROW()/100000</f>
        <v/>
      </c>
    </row>
    <row r="29">
      <c r="A29" s="31" t="inlineStr">
        <is>
          <t>OpenAPI</t>
        </is>
      </c>
      <c r="B29" s="31" t="inlineStr">
        <is>
          <t>Contract Quality</t>
        </is>
      </c>
      <c r="C29" s="32" t="inlineStr">
        <is>
          <t>security_applied</t>
        </is>
      </c>
      <c r="D29" s="33" t="inlineStr">
        <is>
          <t>Security applied to operations</t>
        </is>
      </c>
      <c r="E29" s="34" t="n">
        <v>3</v>
      </c>
      <c r="F29" s="35">
        <f>IF(AND($U29&lt;&gt;"",REGIME="none"),"N/A",IF(AND($U29&lt;&gt;"",$U29&lt;&gt;"any",ISERROR(SEARCH(REGIME,$U29))),"N/A",IF(VLOOKUP($T29,GATES,2,FALSE)="Yes","Yes","N/A")))</f>
        <v/>
      </c>
      <c r="G29" s="36" t="inlineStr">
        <is>
          <t>No</t>
        </is>
      </c>
      <c r="H29" s="37" t="n"/>
      <c r="I29" s="36" t="inlineStr">
        <is>
          <t>first-party</t>
        </is>
      </c>
      <c r="J29" s="38">
        <f>IFERROR(VLOOKUP($I29,PROV_CREDIT,2,FALSE),1)</f>
        <v/>
      </c>
      <c r="K29" s="39">
        <f>IF($F29="N/A",0,$E29*IF(ISNUMBER($H29),MEDIAN(0,$H29,1),IF($G29="Yes",1,IF($G29="Partial",0.5,0)))*$J29)</f>
        <v/>
      </c>
      <c r="L29" s="40">
        <f>IF($F29="N/A",0,$E29)</f>
        <v/>
      </c>
      <c r="M29" s="39">
        <f>$L29-$K29</f>
        <v/>
      </c>
      <c r="N29" s="38">
        <f>IF($L29=0,0,ROUND($M29/SUMIF($B$2:$B$107,$B29,$L$2:$L$107)*100*IFERROR(VLOOKUP($B29,Scorecard!$A$6:$C$12,3,FALSE),0),2))</f>
        <v/>
      </c>
      <c r="O29" s="41" t="inlineStr">
        <is>
          <t>security applied globally or per-operation</t>
        </is>
      </c>
      <c r="P29" s="42" t="inlineStr">
        <is>
          <t>Declared schemes are actually bound to operations, globally or individually. A scheme defined but never applied tells a consumer nothing about what a given call requires.</t>
        </is>
      </c>
      <c r="Q29" s="43" t="n"/>
      <c r="R29" s="44" t="n"/>
      <c r="S29" s="43" t="n"/>
      <c r="T29" s="32" t="inlineStr">
        <is>
          <t>openapi</t>
        </is>
      </c>
      <c r="U29" s="32" t="inlineStr"/>
      <c r="V29" s="35">
        <f>$N29-ROW()/100000</f>
        <v/>
      </c>
    </row>
    <row r="30">
      <c r="A30" s="31" t="inlineStr">
        <is>
          <t>OpenAPI</t>
        </is>
      </c>
      <c r="B30" s="31" t="inlineStr">
        <is>
          <t>Contract Quality</t>
        </is>
      </c>
      <c r="C30" s="32" t="inlineStr">
        <is>
          <t>oauth_flows_current</t>
        </is>
      </c>
      <c r="D30" s="33" t="inlineStr">
        <is>
          <t>Declares no deprecated OAuth grant</t>
        </is>
      </c>
      <c r="E30" s="34" t="n">
        <v>4</v>
      </c>
      <c r="F30" s="35">
        <f>IF(AND($U30&lt;&gt;"",REGIME="none"),"N/A",IF(AND($U30&lt;&gt;"",$U30&lt;&gt;"any",ISERROR(SEARCH(REGIME,$U30))),"N/A",IF(VLOOKUP($T30,GATES,2,FALSE)="Yes","Yes","N/A")))</f>
        <v/>
      </c>
      <c r="G30" s="36" t="inlineStr">
        <is>
          <t>No</t>
        </is>
      </c>
      <c r="H30" s="37" t="n"/>
      <c r="I30" s="36" t="inlineStr">
        <is>
          <t>first-party</t>
        </is>
      </c>
      <c r="J30" s="38">
        <f>IFERROR(VLOOKUP($I30,PROV_CREDIT,2,FALSE),1)</f>
        <v/>
      </c>
      <c r="K30" s="39">
        <f>IF($F30="N/A",0,$E30*IF(ISNUMBER($H30),MEDIAN(0,$H30,1),IF($G30="Yes",1,IF($G30="Partial",0.5,0)))*$J30)</f>
        <v/>
      </c>
      <c r="L30" s="40">
        <f>IF($F30="N/A",0,$E30)</f>
        <v/>
      </c>
      <c r="M30" s="39">
        <f>$L30-$K30</f>
        <v/>
      </c>
      <c r="N30" s="38">
        <f>IF($L30=0,0,ROUND($M30/SUMIF($B$2:$B$107,$B30,$L$2:$L$107)*100*IFERROR(VLOOKUP($B30,Scorecard!$A$6:$C$12,3,FALSE),0),2))</f>
        <v/>
      </c>
      <c r="O30" s="41" t="inlineStr">
        <is>
          <t>no securityScheme declares the implicit or resource-owner-password OAuth grant</t>
        </is>
      </c>
      <c r="P30" s="42" t="inlineStr">
        <is>
          <t>NEW IN 0.7. The implicit grant returns an access token in the browser redirect fragment; the password grant has the client handle the user's credentials directly. Both are recommended against by the OAuth 2.0 Security BCP (RFC 9700) and removed outright in OAuth 2.1. Measured across 14,195 published contracts, 775 still declare implicit and 72 declare password - 28.9% of every OAuth-using contract. Vacuously satisfied by a contract declaring no OAuth: this scores the PRESENCE of a deprecated flow, not the absence of OAuth.</t>
        </is>
      </c>
      <c r="Q30" s="43" t="n"/>
      <c r="R30" s="44" t="n"/>
      <c r="S30" s="43" t="n"/>
      <c r="T30" s="32" t="inlineStr">
        <is>
          <t>openapi</t>
        </is>
      </c>
      <c r="U30" s="32" t="inlineStr"/>
      <c r="V30" s="35">
        <f>$N30-ROW()/100000</f>
        <v/>
      </c>
    </row>
    <row r="31">
      <c r="A31" s="31" t="inlineStr">
        <is>
          <t>OpenAPI</t>
        </is>
      </c>
      <c r="B31" s="31" t="inlineStr">
        <is>
          <t>Contract Quality</t>
        </is>
      </c>
      <c r="C31" s="32" t="inlineStr">
        <is>
          <t>credentials_not_in_query</t>
        </is>
      </c>
      <c r="D31" s="33" t="inlineStr">
        <is>
          <t>Keeps credentials out of the query string</t>
        </is>
      </c>
      <c r="E31" s="34" t="n">
        <v>3</v>
      </c>
      <c r="F31" s="35">
        <f>IF(AND($U31&lt;&gt;"",REGIME="none"),"N/A",IF(AND($U31&lt;&gt;"",$U31&lt;&gt;"any",ISERROR(SEARCH(REGIME,$U31))),"N/A",IF(VLOOKUP($T31,GATES,2,FALSE)="Yes","Yes","N/A")))</f>
        <v/>
      </c>
      <c r="G31" s="36" t="inlineStr">
        <is>
          <t>No</t>
        </is>
      </c>
      <c r="H31" s="37" t="n"/>
      <c r="I31" s="36" t="inlineStr">
        <is>
          <t>first-party</t>
        </is>
      </c>
      <c r="J31" s="38">
        <f>IFERROR(VLOOKUP($I31,PROV_CREDIT,2,FALSE),1)</f>
        <v/>
      </c>
      <c r="K31" s="39">
        <f>IF($F31="N/A",0,$E31*IF(ISNUMBER($H31),MEDIAN(0,$H31,1),IF($G31="Yes",1,IF($G31="Partial",0.5,0)))*$J31)</f>
        <v/>
      </c>
      <c r="L31" s="40">
        <f>IF($F31="N/A",0,$E31)</f>
        <v/>
      </c>
      <c r="M31" s="39">
        <f>$L31-$K31</f>
        <v/>
      </c>
      <c r="N31" s="38">
        <f>IF($L31=0,0,ROUND($M31/SUMIF($B$2:$B$107,$B31,$L$2:$L$107)*100*IFERROR(VLOOKUP($B31,Scorecard!$A$6:$C$12,3,FALSE),0),2))</f>
        <v/>
      </c>
      <c r="O31" s="41" t="inlineStr">
        <is>
          <t>no apiKey securityScheme declares in: query</t>
        </is>
      </c>
      <c r="P31" s="42" t="inlineStr">
        <is>
          <t>NEW IN 0.7. An API key in the query string lands in server logs, proxy logs, browser history and referrer headers. 815 of 14,195 published contracts place the credential there. Vacuously satisfied where no apiKey scheme is declared.</t>
        </is>
      </c>
      <c r="Q31" s="43" t="n"/>
      <c r="R31" s="44" t="n"/>
      <c r="S31" s="43" t="n"/>
      <c r="T31" s="32" t="inlineStr">
        <is>
          <t>openapi</t>
        </is>
      </c>
      <c r="U31" s="32" t="inlineStr"/>
      <c r="V31" s="35">
        <f>$N31-ROW()/100000</f>
        <v/>
      </c>
    </row>
    <row r="32">
      <c r="A32" s="31" t="inlineStr">
        <is>
          <t>OpenAPI</t>
        </is>
      </c>
      <c r="B32" s="31" t="inlineStr">
        <is>
          <t>Contract Quality</t>
        </is>
      </c>
      <c r="C32" s="32" t="inlineStr">
        <is>
          <t>oauth_scopes_enumerated</t>
        </is>
      </c>
      <c r="D32" s="33" t="inlineStr">
        <is>
          <t>Enumerates OAuth scopes</t>
        </is>
      </c>
      <c r="E32" s="34" t="n">
        <v>4</v>
      </c>
      <c r="F32" s="35">
        <f>IF(AND($U32&lt;&gt;"",REGIME="none"),"N/A",IF(AND($U32&lt;&gt;"",$U32&lt;&gt;"any",ISERROR(SEARCH(REGIME,$U32))),"N/A",IF(VLOOKUP($T32,GATES,2,FALSE)="Yes","Yes","N/A")))</f>
        <v/>
      </c>
      <c r="G32" s="36" t="inlineStr">
        <is>
          <t>No</t>
        </is>
      </c>
      <c r="H32" s="37" t="n"/>
      <c r="I32" s="36" t="inlineStr">
        <is>
          <t>first-party</t>
        </is>
      </c>
      <c r="J32" s="38">
        <f>IFERROR(VLOOKUP($I32,PROV_CREDIT,2,FALSE),1)</f>
        <v/>
      </c>
      <c r="K32" s="39">
        <f>IF($F32="N/A",0,$E32*IF(ISNUMBER($H32),MEDIAN(0,$H32,1),IF($G32="Yes",1,IF($G32="Partial",0.5,0)))*$J32)</f>
        <v/>
      </c>
      <c r="L32" s="40">
        <f>IF($F32="N/A",0,$E32)</f>
        <v/>
      </c>
      <c r="M32" s="39">
        <f>$L32-$K32</f>
        <v/>
      </c>
      <c r="N32" s="38">
        <f>IF($L32=0,0,ROUND($M32/SUMIF($B$2:$B$107,$B32,$L$2:$L$107)*100*IFERROR(VLOOKUP($B32,Scorecard!$A$6:$C$12,3,FALSE),0),2))</f>
        <v/>
      </c>
      <c r="O32" s="41" t="inlineStr">
        <is>
          <t>every declared oauth2 flow enumerates at least one scope</t>
        </is>
      </c>
      <c r="P32" s="42" t="inlineStr">
        <is>
          <t>NEW IN 0.7. Scope is how OAuth expresses least privilege - the difference between a token that can read a calendar and one that can delete an account. Only 15.3% of published contracts enumerate any scope, so roughly four in five OAuth-declaring contracts describe how to obtain a credential and never what it permits. This is the mechanism behind the missing least-privilege models found in every market report. Distinct from reg_oauth_scopes, which applies only where a regulatory regime does; this one applies to every provider. Vacuously satisfied without OAuth.</t>
        </is>
      </c>
      <c r="Q32" s="43" t="n"/>
      <c r="R32" s="44" t="n"/>
      <c r="S32" s="43" t="n"/>
      <c r="T32" s="32" t="inlineStr">
        <is>
          <t>openapi</t>
        </is>
      </c>
      <c r="U32" s="32" t="inlineStr"/>
      <c r="V32" s="35">
        <f>$N32-ROW()/100000</f>
        <v/>
      </c>
    </row>
    <row r="33">
      <c r="A33" s="31" t="inlineStr">
        <is>
          <t>OpenAPI</t>
        </is>
      </c>
      <c r="B33" s="31" t="inlineStr">
        <is>
          <t>Contract Quality</t>
        </is>
      </c>
      <c r="C33" s="32" t="inlineStr">
        <is>
          <t>webhooks_or_callbacks</t>
        </is>
      </c>
      <c r="D33" s="33" t="inlineStr">
        <is>
          <t>Webhooks or callbacks</t>
        </is>
      </c>
      <c r="E33" s="34" t="n">
        <v>2</v>
      </c>
      <c r="F33" s="35">
        <f>IF(AND($U33&lt;&gt;"",REGIME="none"),"N/A",IF(AND($U33&lt;&gt;"",$U33&lt;&gt;"any",ISERROR(SEARCH(REGIME,$U33))),"N/A",IF(VLOOKUP($T33,GATES,2,FALSE)="Yes","Yes","N/A")))</f>
        <v/>
      </c>
      <c r="G33" s="36" t="inlineStr">
        <is>
          <t>No</t>
        </is>
      </c>
      <c r="H33" s="37" t="n"/>
      <c r="I33" s="36" t="inlineStr">
        <is>
          <t>first-party</t>
        </is>
      </c>
      <c r="J33" s="38">
        <f>IFERROR(VLOOKUP($I33,PROV_CREDIT,2,FALSE),1)</f>
        <v/>
      </c>
      <c r="K33" s="39">
        <f>IF($F33="N/A",0,$E33*IF(ISNUMBER($H33),MEDIAN(0,$H33,1),IF($G33="Yes",1,IF($G33="Partial",0.5,0)))*$J33)</f>
        <v/>
      </c>
      <c r="L33" s="40">
        <f>IF($F33="N/A",0,$E33)</f>
        <v/>
      </c>
      <c r="M33" s="39">
        <f>$L33-$K33</f>
        <v/>
      </c>
      <c r="N33" s="38">
        <f>IF($L33=0,0,ROUND($M33/SUMIF($B$2:$B$107,$B33,$L$2:$L$107)*100*IFERROR(VLOOKUP($B33,Scorecard!$A$6:$C$12,3,FALSE),0),2))</f>
        <v/>
      </c>
      <c r="O33" s="41" t="inlineStr">
        <is>
          <t>webhooks or callbacks defined (3.1) or callbacks (3.0)</t>
        </is>
      </c>
      <c r="P33" s="42" t="inlineStr">
        <is>
          <t>The spec describes what the API sends back out, not only what it receives — the event surface most providers document only in prose, if at all.</t>
        </is>
      </c>
      <c r="Q33" s="43" t="n"/>
      <c r="R33" s="44" t="n"/>
      <c r="S33" s="43" t="n"/>
      <c r="T33" s="32" t="inlineStr">
        <is>
          <t>openapi</t>
        </is>
      </c>
      <c r="U33" s="32" t="inlineStr"/>
      <c r="V33" s="35">
        <f>$N33-ROW()/100000</f>
        <v/>
      </c>
    </row>
    <row r="34">
      <c r="A34" s="31" t="inlineStr">
        <is>
          <t>AsyncAPI</t>
        </is>
      </c>
      <c r="B34" s="31" t="inlineStr">
        <is>
          <t>Contract Quality</t>
        </is>
      </c>
      <c r="C34" s="32" t="inlineStr">
        <is>
          <t>asyncapi_present</t>
        </is>
      </c>
      <c r="D34" s="33" t="inlineStr">
        <is>
          <t>Publishes an AsyncAPI spec</t>
        </is>
      </c>
      <c r="E34" s="34" t="n">
        <v>12</v>
      </c>
      <c r="F34" s="35">
        <f>IF(AND($U34&lt;&gt;"",REGIME="none"),"N/A",IF(AND($U34&lt;&gt;"",$U34&lt;&gt;"any",ISERROR(SEARCH(REGIME,$U34))),"N/A",IF(VLOOKUP($T34,GATES,2,FALSE)="Yes","Yes","N/A")))</f>
        <v/>
      </c>
      <c r="G34" s="36" t="inlineStr">
        <is>
          <t>No</t>
        </is>
      </c>
      <c r="H34" s="37" t="n"/>
      <c r="I34" s="34" t="inlineStr">
        <is>
          <t>—</t>
        </is>
      </c>
      <c r="J34" s="38">
        <f>IFERROR(VLOOKUP($I34,PROV_CREDIT,2,FALSE),1)</f>
        <v/>
      </c>
      <c r="K34" s="39">
        <f>IF($F34="N/A",0,$E34*IF(ISNUMBER($H34),MEDIAN(0,$H34,1),IF($G34="Yes",1,IF($G34="Partial",0.5,0)))*$J34)</f>
        <v/>
      </c>
      <c r="L34" s="40">
        <f>IF($F34="N/A",0,$E34)</f>
        <v/>
      </c>
      <c r="M34" s="39">
        <f>$L34-$K34</f>
        <v/>
      </c>
      <c r="N34" s="38">
        <f>IF($L34=0,0,ROUND($M34/SUMIF($B$2:$B$107,$B34,$L$2:$L$107)*100*IFERROR(VLOOKUP($B34,Scorecard!$A$6:$C$12,3,FALSE),0),2))</f>
        <v/>
      </c>
      <c r="O34" s="41" t="inlineStr">
        <is>
          <t>at least one api has spec_type == "AsyncAPI"</t>
        </is>
      </c>
      <c r="P34" s="42" t="inlineStr">
        <is>
          <t>At least one AsyncAPI document exists, describing the messaging or streaming surface with the same rigor the OpenAPI applies to the request/response one.</t>
        </is>
      </c>
      <c r="Q34" s="43" t="n"/>
      <c r="R34" s="44" t="n"/>
      <c r="S34" s="43" t="n"/>
      <c r="T34" s="32" t="inlineStr">
        <is>
          <t>always</t>
        </is>
      </c>
      <c r="U34" s="32" t="inlineStr"/>
      <c r="V34" s="35">
        <f>$N34-ROW()/100000</f>
        <v/>
      </c>
    </row>
    <row r="35">
      <c r="A35" s="31" t="inlineStr">
        <is>
          <t>AsyncAPI</t>
        </is>
      </c>
      <c r="B35" s="31" t="inlineStr">
        <is>
          <t>Contract Quality</t>
        </is>
      </c>
      <c r="C35" s="32" t="inlineStr">
        <is>
          <t>asyncapi_3_x</t>
        </is>
      </c>
      <c r="D35" s="33" t="inlineStr">
        <is>
          <t>AsyncAPI 3.x</t>
        </is>
      </c>
      <c r="E35" s="34" t="n">
        <v>4</v>
      </c>
      <c r="F35" s="35">
        <f>IF(AND($U35&lt;&gt;"",REGIME="none"),"N/A",IF(AND($U35&lt;&gt;"",$U35&lt;&gt;"any",ISERROR(SEARCH(REGIME,$U35))),"N/A",IF(VLOOKUP($T35,GATES,2,FALSE)="Yes","Yes","N/A")))</f>
        <v/>
      </c>
      <c r="G35" s="36" t="inlineStr">
        <is>
          <t>No</t>
        </is>
      </c>
      <c r="H35" s="37" t="n"/>
      <c r="I35" s="34" t="inlineStr">
        <is>
          <t>—</t>
        </is>
      </c>
      <c r="J35" s="38">
        <f>IFERROR(VLOOKUP($I35,PROV_CREDIT,2,FALSE),1)</f>
        <v/>
      </c>
      <c r="K35" s="39">
        <f>IF($F35="N/A",0,$E35*IF(ISNUMBER($H35),MEDIAN(0,$H35,1),IF($G35="Yes",1,IF($G35="Partial",0.5,0)))*$J35)</f>
        <v/>
      </c>
      <c r="L35" s="40">
        <f>IF($F35="N/A",0,$E35)</f>
        <v/>
      </c>
      <c r="M35" s="39">
        <f>$L35-$K35</f>
        <v/>
      </c>
      <c r="N35" s="38">
        <f>IF($L35=0,0,ROUND($M35/SUMIF($B$2:$B$107,$B35,$L$2:$L$107)*100*IFERROR(VLOOKUP($B35,Scorecard!$A$6:$C$12,3,FALSE),0),2))</f>
        <v/>
      </c>
      <c r="O35" s="41" t="inlineStr">
        <is>
          <t>asyncapi version is 3.x</t>
        </is>
      </c>
      <c r="P35" s="42" t="inlineStr">
        <is>
          <t>Published against 3.x, which separates channels from operations and is where the specification's tooling is consolidating.</t>
        </is>
      </c>
      <c r="Q35" s="43" t="n"/>
      <c r="R35" s="44" t="n"/>
      <c r="S35" s="43" t="n"/>
      <c r="T35" s="32" t="inlineStr">
        <is>
          <t>asyncapi</t>
        </is>
      </c>
      <c r="U35" s="32" t="inlineStr"/>
      <c r="V35" s="35">
        <f>$N35-ROW()/100000</f>
        <v/>
      </c>
    </row>
    <row r="36">
      <c r="A36" s="31" t="inlineStr">
        <is>
          <t>AsyncAPI</t>
        </is>
      </c>
      <c r="B36" s="31" t="inlineStr">
        <is>
          <t>Contract Quality</t>
        </is>
      </c>
      <c r="C36" s="32" t="inlineStr">
        <is>
          <t>channels_defined</t>
        </is>
      </c>
      <c r="D36" s="33" t="inlineStr">
        <is>
          <t>Channels defined</t>
        </is>
      </c>
      <c r="E36" s="34" t="n">
        <v>4</v>
      </c>
      <c r="F36" s="35">
        <f>IF(AND($U36&lt;&gt;"",REGIME="none"),"N/A",IF(AND($U36&lt;&gt;"",$U36&lt;&gt;"any",ISERROR(SEARCH(REGIME,$U36))),"N/A",IF(VLOOKUP($T36,GATES,2,FALSE)="Yes","Yes","N/A")))</f>
        <v/>
      </c>
      <c r="G36" s="36" t="inlineStr">
        <is>
          <t>No</t>
        </is>
      </c>
      <c r="H36" s="37" t="n"/>
      <c r="I36" s="34" t="inlineStr">
        <is>
          <t>—</t>
        </is>
      </c>
      <c r="J36" s="38">
        <f>IFERROR(VLOOKUP($I36,PROV_CREDIT,2,FALSE),1)</f>
        <v/>
      </c>
      <c r="K36" s="39">
        <f>IF($F36="N/A",0,$E36*IF(ISNUMBER($H36),MEDIAN(0,$H36,1),IF($G36="Yes",1,IF($G36="Partial",0.5,0)))*$J36)</f>
        <v/>
      </c>
      <c r="L36" s="40">
        <f>IF($F36="N/A",0,$E36)</f>
        <v/>
      </c>
      <c r="M36" s="39">
        <f>$L36-$K36</f>
        <v/>
      </c>
      <c r="N36" s="38">
        <f>IF($L36=0,0,ROUND($M36/SUMIF($B$2:$B$107,$B36,$L$2:$L$107)*100*IFERROR(VLOOKUP($B36,Scorecard!$A$6:$C$12,3,FALSE),0),2))</f>
        <v/>
      </c>
      <c r="O36" s="41" t="inlineStr">
        <is>
          <t>channels[] non-empty</t>
        </is>
      </c>
      <c r="P36" s="42" t="inlineStr">
        <is>
          <t>The spec declares the channels messages flow over — the event equivalent of declaring paths.</t>
        </is>
      </c>
      <c r="Q36" s="43" t="n"/>
      <c r="R36" s="44" t="n"/>
      <c r="S36" s="43" t="n"/>
      <c r="T36" s="32" t="inlineStr">
        <is>
          <t>asyncapi</t>
        </is>
      </c>
      <c r="U36" s="32" t="inlineStr"/>
      <c r="V36" s="35">
        <f>$N36-ROW()/100000</f>
        <v/>
      </c>
    </row>
    <row r="37">
      <c r="A37" s="31" t="inlineStr">
        <is>
          <t>AsyncAPI</t>
        </is>
      </c>
      <c r="B37" s="31" t="inlineStr">
        <is>
          <t>Contract Quality</t>
        </is>
      </c>
      <c r="C37" s="32" t="inlineStr">
        <is>
          <t>messages_with_schema</t>
        </is>
      </c>
      <c r="D37" s="33" t="inlineStr">
        <is>
          <t>Messages carry payload schemas</t>
        </is>
      </c>
      <c r="E37" s="34" t="n">
        <v>5</v>
      </c>
      <c r="F37" s="35">
        <f>IF(AND($U37&lt;&gt;"",REGIME="none"),"N/A",IF(AND($U37&lt;&gt;"",$U37&lt;&gt;"any",ISERROR(SEARCH(REGIME,$U37))),"N/A",IF(VLOOKUP($T37,GATES,2,FALSE)="Yes","Yes","N/A")))</f>
        <v/>
      </c>
      <c r="G37" s="36" t="inlineStr">
        <is>
          <t>No</t>
        </is>
      </c>
      <c r="H37" s="37" t="n"/>
      <c r="I37" s="34" t="inlineStr">
        <is>
          <t>—</t>
        </is>
      </c>
      <c r="J37" s="38">
        <f>IFERROR(VLOOKUP($I37,PROV_CREDIT,2,FALSE),1)</f>
        <v/>
      </c>
      <c r="K37" s="39">
        <f>IF($F37="N/A",0,$E37*IF(ISNUMBER($H37),MEDIAN(0,$H37,1),IF($G37="Yes",1,IF($G37="Partial",0.5,0)))*$J37)</f>
        <v/>
      </c>
      <c r="L37" s="40">
        <f>IF($F37="N/A",0,$E37)</f>
        <v/>
      </c>
      <c r="M37" s="39">
        <f>$L37-$K37</f>
        <v/>
      </c>
      <c r="N37" s="38">
        <f>IF($L37=0,0,ROUND($M37/SUMIF($B$2:$B$107,$B37,$L$2:$L$107)*100*IFERROR(VLOOKUP($B37,Scorecard!$A$6:$C$12,3,FALSE),0),2))</f>
        <v/>
      </c>
      <c r="O37" s="41" t="inlineStr">
        <is>
          <t>&gt;= 80% of messages reference a payload schema</t>
        </is>
      </c>
      <c r="P37" s="42" t="inlineStr">
        <is>
          <t>At least 80% of messages reference a payload schema, so a subscriber knows the shape of what arrives rather than discovering it at runtime.</t>
        </is>
      </c>
      <c r="Q37" s="43" t="n"/>
      <c r="R37" s="44" t="n"/>
      <c r="S37" s="43" t="n"/>
      <c r="T37" s="32" t="inlineStr">
        <is>
          <t>asyncapi</t>
        </is>
      </c>
      <c r="U37" s="32" t="inlineStr"/>
      <c r="V37" s="35">
        <f>$N37-ROW()/100000</f>
        <v/>
      </c>
    </row>
    <row r="38">
      <c r="A38" s="31" t="inlineStr">
        <is>
          <t>AsyncAPI</t>
        </is>
      </c>
      <c r="B38" s="31" t="inlineStr">
        <is>
          <t>Contract Quality</t>
        </is>
      </c>
      <c r="C38" s="32" t="inlineStr">
        <is>
          <t>server_bindings</t>
        </is>
      </c>
      <c r="D38" s="33" t="inlineStr">
        <is>
          <t>Protocol bindings on servers</t>
        </is>
      </c>
      <c r="E38" s="34" t="n">
        <v>3</v>
      </c>
      <c r="F38" s="35">
        <f>IF(AND($U38&lt;&gt;"",REGIME="none"),"N/A",IF(AND($U38&lt;&gt;"",$U38&lt;&gt;"any",ISERROR(SEARCH(REGIME,$U38))),"N/A",IF(VLOOKUP($T38,GATES,2,FALSE)="Yes","Yes","N/A")))</f>
        <v/>
      </c>
      <c r="G38" s="36" t="inlineStr">
        <is>
          <t>No</t>
        </is>
      </c>
      <c r="H38" s="37" t="n"/>
      <c r="I38" s="34" t="inlineStr">
        <is>
          <t>—</t>
        </is>
      </c>
      <c r="J38" s="38">
        <f>IFERROR(VLOOKUP($I38,PROV_CREDIT,2,FALSE),1)</f>
        <v/>
      </c>
      <c r="K38" s="39">
        <f>IF($F38="N/A",0,$E38*IF(ISNUMBER($H38),MEDIAN(0,$H38,1),IF($G38="Yes",1,IF($G38="Partial",0.5,0)))*$J38)</f>
        <v/>
      </c>
      <c r="L38" s="40">
        <f>IF($F38="N/A",0,$E38)</f>
        <v/>
      </c>
      <c r="M38" s="39">
        <f>$L38-$K38</f>
        <v/>
      </c>
      <c r="N38" s="38">
        <f>IF($L38=0,0,ROUND($M38/SUMIF($B$2:$B$107,$B38,$L$2:$L$107)*100*IFERROR(VLOOKUP($B38,Scorecard!$A$6:$C$12,3,FALSE),0),2))</f>
        <v/>
      </c>
      <c r="O38" s="41" t="inlineStr">
        <is>
          <t>servers define protocol bindings</t>
        </is>
      </c>
      <c r="P38" s="42" t="inlineStr">
        <is>
          <t>Servers declare their protocol bindings — Kafka, AMQP, WebSocket, MQTT — which is what makes the contract actually connectable.</t>
        </is>
      </c>
      <c r="Q38" s="43" t="n"/>
      <c r="R38" s="44" t="n"/>
      <c r="S38" s="43" t="n"/>
      <c r="T38" s="32" t="inlineStr">
        <is>
          <t>asyncapi</t>
        </is>
      </c>
      <c r="U38" s="32" t="inlineStr"/>
      <c r="V38" s="35">
        <f>$N38-ROW()/100000</f>
        <v/>
      </c>
    </row>
    <row r="39">
      <c r="A39" s="31" t="inlineStr">
        <is>
          <t>AsyncAPI</t>
        </is>
      </c>
      <c r="B39" s="31" t="inlineStr">
        <is>
          <t>Contract Quality</t>
        </is>
      </c>
      <c r="C39" s="32" t="inlineStr">
        <is>
          <t>security_schemes</t>
        </is>
      </c>
      <c r="D39" s="33" t="inlineStr">
        <is>
          <t>Server security schemes</t>
        </is>
      </c>
      <c r="E39" s="34" t="n">
        <v>3</v>
      </c>
      <c r="F39" s="35">
        <f>IF(AND($U39&lt;&gt;"",REGIME="none"),"N/A",IF(AND($U39&lt;&gt;"",$U39&lt;&gt;"any",ISERROR(SEARCH(REGIME,$U39))),"N/A",IF(VLOOKUP($T39,GATES,2,FALSE)="Yes","Yes","N/A")))</f>
        <v/>
      </c>
      <c r="G39" s="36" t="inlineStr">
        <is>
          <t>No</t>
        </is>
      </c>
      <c r="H39" s="37" t="n"/>
      <c r="I39" s="34" t="inlineStr">
        <is>
          <t>—</t>
        </is>
      </c>
      <c r="J39" s="38">
        <f>IFERROR(VLOOKUP($I39,PROV_CREDIT,2,FALSE),1)</f>
        <v/>
      </c>
      <c r="K39" s="39">
        <f>IF($F39="N/A",0,$E39*IF(ISNUMBER($H39),MEDIAN(0,$H39,1),IF($G39="Yes",1,IF($G39="Partial",0.5,0)))*$J39)</f>
        <v/>
      </c>
      <c r="L39" s="40">
        <f>IF($F39="N/A",0,$E39)</f>
        <v/>
      </c>
      <c r="M39" s="39">
        <f>$L39-$K39</f>
        <v/>
      </c>
      <c r="N39" s="38">
        <f>IF($L39=0,0,ROUND($M39/SUMIF($B$2:$B$107,$B39,$L$2:$L$107)*100*IFERROR(VLOOKUP($B39,Scorecard!$A$6:$C$12,3,FALSE),0),2))</f>
        <v/>
      </c>
      <c r="O39" s="41" t="inlineStr">
        <is>
          <t>securitySchemes defined for at least one server</t>
        </is>
      </c>
      <c r="P39" s="42" t="inlineStr">
        <is>
          <t>At least one server declares how to authenticate against it.</t>
        </is>
      </c>
      <c r="Q39" s="43" t="n"/>
      <c r="R39" s="44" t="n"/>
      <c r="S39" s="43" t="n"/>
      <c r="T39" s="32" t="inlineStr">
        <is>
          <t>asyncapi</t>
        </is>
      </c>
      <c r="U39" s="32" t="inlineStr"/>
      <c r="V39" s="35">
        <f>$N39-ROW()/100000</f>
        <v/>
      </c>
    </row>
    <row r="40">
      <c r="A40" s="31" t="inlineStr">
        <is>
          <t>GraphQL</t>
        </is>
      </c>
      <c r="B40" s="31" t="inlineStr">
        <is>
          <t>Contract Quality</t>
        </is>
      </c>
      <c r="C40" s="32" t="inlineStr">
        <is>
          <t>graphql_sdl_present</t>
        </is>
      </c>
      <c r="D40" s="33" t="inlineStr">
        <is>
          <t>Publishes a GraphQL schema</t>
        </is>
      </c>
      <c r="E40" s="34" t="n">
        <v>10</v>
      </c>
      <c r="F40" s="35">
        <f>IF(AND($U40&lt;&gt;"",REGIME="none"),"N/A",IF(AND($U40&lt;&gt;"",$U40&lt;&gt;"any",ISERROR(SEARCH(REGIME,$U40))),"N/A",IF(VLOOKUP($T40,GATES,2,FALSE)="Yes","Yes","N/A")))</f>
        <v/>
      </c>
      <c r="G40" s="36" t="inlineStr">
        <is>
          <t>No</t>
        </is>
      </c>
      <c r="H40" s="37" t="n"/>
      <c r="I40" s="34" t="inlineStr">
        <is>
          <t>—</t>
        </is>
      </c>
      <c r="J40" s="38">
        <f>IFERROR(VLOOKUP($I40,PROV_CREDIT,2,FALSE),1)</f>
        <v/>
      </c>
      <c r="K40" s="39">
        <f>IF($F40="N/A",0,$E40*IF(ISNUMBER($H40),MEDIAN(0,$H40,1),IF($G40="Yes",1,IF($G40="Partial",0.5,0)))*$J40)</f>
        <v/>
      </c>
      <c r="L40" s="40">
        <f>IF($F40="N/A",0,$E40)</f>
        <v/>
      </c>
      <c r="M40" s="39">
        <f>$L40-$K40</f>
        <v/>
      </c>
      <c r="N40" s="38">
        <f>IF($L40=0,0,ROUND($M40/SUMIF($B$2:$B$107,$B40,$L$2:$L$107)*100*IFERROR(VLOOKUP($B40,Scorecard!$A$6:$C$12,3,FALSE),0),2))</f>
        <v/>
      </c>
      <c r="O40" s="41" t="inlineStr">
        <is>
          <t>a .graphql / .gql SDL is published</t>
        </is>
      </c>
      <c r="P40" s="42" t="inlineStr">
        <is>
          <t>A schema definition file is published rather than only an interactive playground. An endpoint with introspection disabled and no published SDL is, to a consumer building against it, an undocumented API.</t>
        </is>
      </c>
      <c r="Q40" s="43" t="n"/>
      <c r="R40" s="44" t="n"/>
      <c r="S40" s="43" t="n"/>
      <c r="T40" s="32" t="inlineStr">
        <is>
          <t>graphql</t>
        </is>
      </c>
      <c r="U40" s="32" t="inlineStr"/>
      <c r="V40" s="35">
        <f>$N40-ROW()/100000</f>
        <v/>
      </c>
    </row>
    <row r="41">
      <c r="A41" s="31" t="inlineStr">
        <is>
          <t>GraphQL</t>
        </is>
      </c>
      <c r="B41" s="31" t="inlineStr">
        <is>
          <t>Contract Quality</t>
        </is>
      </c>
      <c r="C41" s="32" t="inlineStr">
        <is>
          <t>graphql_type_depth</t>
        </is>
      </c>
      <c r="D41" s="33" t="inlineStr">
        <is>
          <t>Schema defines a real type system</t>
        </is>
      </c>
      <c r="E41" s="34" t="n">
        <v>5</v>
      </c>
      <c r="F41" s="35">
        <f>IF(AND($U41&lt;&gt;"",REGIME="none"),"N/A",IF(AND($U41&lt;&gt;"",$U41&lt;&gt;"any",ISERROR(SEARCH(REGIME,$U41))),"N/A",IF(VLOOKUP($T41,GATES,2,FALSE)="Yes","Yes","N/A")))</f>
        <v/>
      </c>
      <c r="G41" s="36" t="inlineStr">
        <is>
          <t>No</t>
        </is>
      </c>
      <c r="H41" s="37" t="n"/>
      <c r="I41" s="34" t="inlineStr">
        <is>
          <t>—</t>
        </is>
      </c>
      <c r="J41" s="38">
        <f>IFERROR(VLOOKUP($I41,PROV_CREDIT,2,FALSE),1)</f>
        <v/>
      </c>
      <c r="K41" s="39">
        <f>IF($F41="N/A",0,$E41*IF(ISNUMBER($H41),MEDIAN(0,$H41,1),IF($G41="Yes",1,IF($G41="Partial",0.5,0)))*$J41)</f>
        <v/>
      </c>
      <c r="L41" s="40">
        <f>IF($F41="N/A",0,$E41)</f>
        <v/>
      </c>
      <c r="M41" s="39">
        <f>$L41-$K41</f>
        <v/>
      </c>
      <c r="N41" s="38">
        <f>IF($L41=0,0,ROUND($M41/SUMIF($B$2:$B$107,$B41,$L$2:$L$107)*100*IFERROR(VLOOKUP($B41,Scorecard!$A$6:$C$12,3,FALSE),0),2))</f>
        <v/>
      </c>
      <c r="O41" s="41" t="inlineStr">
        <is>
          <t>SDL declares &gt;= 20 type definitions</t>
        </is>
      </c>
      <c r="P41" s="42" t="inlineStr">
        <is>
          <t>Twenty or more type definitions — a modelled domain rather than a handful of wrapper types around a REST passthrough.</t>
        </is>
      </c>
      <c r="Q41" s="43" t="n"/>
      <c r="R41" s="44" t="n"/>
      <c r="S41" s="43" t="n"/>
      <c r="T41" s="32" t="inlineStr">
        <is>
          <t>graphql</t>
        </is>
      </c>
      <c r="U41" s="32" t="inlineStr"/>
      <c r="V41" s="35">
        <f>$N41-ROW()/100000</f>
        <v/>
      </c>
    </row>
    <row r="42">
      <c r="A42" s="31" t="inlineStr">
        <is>
          <t>GraphQL</t>
        </is>
      </c>
      <c r="B42" s="31" t="inlineStr">
        <is>
          <t>Contract Quality</t>
        </is>
      </c>
      <c r="C42" s="32" t="inlineStr">
        <is>
          <t>graphql_descriptions</t>
        </is>
      </c>
      <c r="D42" s="33" t="inlineStr">
        <is>
          <t>Schema is documented</t>
        </is>
      </c>
      <c r="E42" s="34" t="n">
        <v>4</v>
      </c>
      <c r="F42" s="35">
        <f>IF(AND($U42&lt;&gt;"",REGIME="none"),"N/A",IF(AND($U42&lt;&gt;"",$U42&lt;&gt;"any",ISERROR(SEARCH(REGIME,$U42))),"N/A",IF(VLOOKUP($T42,GATES,2,FALSE)="Yes","Yes","N/A")))</f>
        <v/>
      </c>
      <c r="G42" s="36" t="inlineStr">
        <is>
          <t>No</t>
        </is>
      </c>
      <c r="H42" s="37" t="n"/>
      <c r="I42" s="34" t="inlineStr">
        <is>
          <t>—</t>
        </is>
      </c>
      <c r="J42" s="38">
        <f>IFERROR(VLOOKUP($I42,PROV_CREDIT,2,FALSE),1)</f>
        <v/>
      </c>
      <c r="K42" s="39">
        <f>IF($F42="N/A",0,$E42*IF(ISNUMBER($H42),MEDIAN(0,$H42,1),IF($G42="Yes",1,IF($G42="Partial",0.5,0)))*$J42)</f>
        <v/>
      </c>
      <c r="L42" s="40">
        <f>IF($F42="N/A",0,$E42)</f>
        <v/>
      </c>
      <c r="M42" s="39">
        <f>$L42-$K42</f>
        <v/>
      </c>
      <c r="N42" s="38">
        <f>IF($L42=0,0,ROUND($M42/SUMIF($B$2:$B$107,$B42,$L$2:$L$107)*100*IFERROR(VLOOKUP($B42,Scorecard!$A$6:$C$12,3,FALSE),0),2))</f>
        <v/>
      </c>
      <c r="O42" s="41" t="inlineStr">
        <is>
          <t>&gt;= 50% of type definitions carry a description string</t>
        </is>
      </c>
      <c r="P42" s="42" t="inlineStr">
        <is>
          <t>Half or more of the declared types carry description strings. In GraphQL the docstring IS the reference documentation — it is what renders in every explorer and what an agent reads to pick a field.</t>
        </is>
      </c>
      <c r="Q42" s="43" t="n"/>
      <c r="R42" s="44" t="n"/>
      <c r="S42" s="43" t="n"/>
      <c r="T42" s="32" t="inlineStr">
        <is>
          <t>graphql</t>
        </is>
      </c>
      <c r="U42" s="32" t="inlineStr"/>
      <c r="V42" s="35">
        <f>$N42-ROW()/100000</f>
        <v/>
      </c>
    </row>
    <row r="43">
      <c r="A43" s="31" t="inlineStr">
        <is>
          <t>FHIR</t>
        </is>
      </c>
      <c r="B43" s="31" t="inlineStr">
        <is>
          <t>Contract Quality</t>
        </is>
      </c>
      <c r="C43" s="32" t="inlineStr">
        <is>
          <t>fhir_capability_statement</t>
        </is>
      </c>
      <c r="D43" s="33" t="inlineStr">
        <is>
          <t>Publishes a FHIR CapabilityStatement</t>
        </is>
      </c>
      <c r="E43" s="34" t="n">
        <v>12</v>
      </c>
      <c r="F43" s="35">
        <f>IF(AND($U43&lt;&gt;"",REGIME="none"),"N/A",IF(AND($U43&lt;&gt;"",$U43&lt;&gt;"any",ISERROR(SEARCH(REGIME,$U43))),"N/A",IF(VLOOKUP($T43,GATES,2,FALSE)="Yes","Yes","N/A")))</f>
        <v/>
      </c>
      <c r="G43" s="36" t="inlineStr">
        <is>
          <t>No</t>
        </is>
      </c>
      <c r="H43" s="37" t="n"/>
      <c r="I43" s="34" t="inlineStr">
        <is>
          <t>—</t>
        </is>
      </c>
      <c r="J43" s="38">
        <f>IFERROR(VLOOKUP($I43,PROV_CREDIT,2,FALSE),1)</f>
        <v/>
      </c>
      <c r="K43" s="39">
        <f>IF($F43="N/A",0,$E43*IF(ISNUMBER($H43),MEDIAN(0,$H43,1),IF($G43="Yes",1,IF($G43="Partial",0.5,0)))*$J43)</f>
        <v/>
      </c>
      <c r="L43" s="40">
        <f>IF($F43="N/A",0,$E43)</f>
        <v/>
      </c>
      <c r="M43" s="39">
        <f>$L43-$K43</f>
        <v/>
      </c>
      <c r="N43" s="38">
        <f>IF($L43=0,0,ROUND($M43/SUMIF($B$2:$B$107,$B43,$L$2:$L$107)*100*IFERROR(VLOOKUP($B43,Scorecard!$A$6:$C$12,3,FALSE),0),2))</f>
        <v/>
      </c>
      <c r="O43" s="41" t="inlineStr">
        <is>
          <t>a CapabilityStatement / Conformance resource is published</t>
        </is>
      </c>
      <c r="P43" s="42" t="inlineStr">
        <is>
          <t>The server publishes its conformance statement. This is the FHIR equivalent of shipping an OpenAPI, and it is served at a well-known path by every conformant server, which makes its absence a deliberate omission rather than an oversight.</t>
        </is>
      </c>
      <c r="Q43" s="43" t="n"/>
      <c r="R43" s="44" t="n"/>
      <c r="S43" s="43" t="n"/>
      <c r="T43" s="32" t="inlineStr">
        <is>
          <t>fhir</t>
        </is>
      </c>
      <c r="U43" s="32" t="inlineStr"/>
      <c r="V43" s="35">
        <f>$N43-ROW()/100000</f>
        <v/>
      </c>
    </row>
    <row r="44">
      <c r="A44" s="31" t="inlineStr">
        <is>
          <t>FHIR</t>
        </is>
      </c>
      <c r="B44" s="31" t="inlineStr">
        <is>
          <t>Contract Quality</t>
        </is>
      </c>
      <c r="C44" s="32" t="inlineStr">
        <is>
          <t>fhir_resource_coverage</t>
        </is>
      </c>
      <c r="D44" s="33" t="inlineStr">
        <is>
          <t>Broad resource coverage</t>
        </is>
      </c>
      <c r="E44" s="34" t="n">
        <v>6</v>
      </c>
      <c r="F44" s="35">
        <f>IF(AND($U44&lt;&gt;"",REGIME="none"),"N/A",IF(AND($U44&lt;&gt;"",$U44&lt;&gt;"any",ISERROR(SEARCH(REGIME,$U44))),"N/A",IF(VLOOKUP($T44,GATES,2,FALSE)="Yes","Yes","N/A")))</f>
        <v/>
      </c>
      <c r="G44" s="36" t="inlineStr">
        <is>
          <t>No</t>
        </is>
      </c>
      <c r="H44" s="37" t="n"/>
      <c r="I44" s="34" t="inlineStr">
        <is>
          <t>—</t>
        </is>
      </c>
      <c r="J44" s="38">
        <f>IFERROR(VLOOKUP($I44,PROV_CREDIT,2,FALSE),1)</f>
        <v/>
      </c>
      <c r="K44" s="39">
        <f>IF($F44="N/A",0,$E44*IF(ISNUMBER($H44),MEDIAN(0,$H44,1),IF($G44="Yes",1,IF($G44="Partial",0.5,0)))*$J44)</f>
        <v/>
      </c>
      <c r="L44" s="40">
        <f>IF($F44="N/A",0,$E44)</f>
        <v/>
      </c>
      <c r="M44" s="39">
        <f>$L44-$K44</f>
        <v/>
      </c>
      <c r="N44" s="38">
        <f>IF($L44=0,0,ROUND($M44/SUMIF($B$2:$B$107,$B44,$L$2:$L$107)*100*IFERROR(VLOOKUP($B44,Scorecard!$A$6:$C$12,3,FALSE),0),2))</f>
        <v/>
      </c>
      <c r="O44" s="41" t="inlineStr">
        <is>
          <t>CapabilityStatement declares &gt;= 20 resources</t>
        </is>
      </c>
      <c r="P44" s="42" t="inlineStr">
        <is>
          <t>Twenty or more resources declared — the difference between a server that supports Patient and Observation and one that supports a working clinical record.</t>
        </is>
      </c>
      <c r="Q44" s="43" t="n"/>
      <c r="R44" s="44" t="n"/>
      <c r="S44" s="43" t="n"/>
      <c r="T44" s="32" t="inlineStr">
        <is>
          <t>fhir</t>
        </is>
      </c>
      <c r="U44" s="32" t="inlineStr"/>
      <c r="V44" s="35">
        <f>$N44-ROW()/100000</f>
        <v/>
      </c>
    </row>
    <row r="45">
      <c r="A45" s="31" t="inlineStr">
        <is>
          <t>JSON Schema</t>
        </is>
      </c>
      <c r="B45" s="31" t="inlineStr">
        <is>
          <t>Contract Quality</t>
        </is>
      </c>
      <c r="C45" s="32" t="inlineStr">
        <is>
          <t>json_schema_present</t>
        </is>
      </c>
      <c r="D45" s="33" t="inlineStr">
        <is>
          <t>Publishes JSON Schema</t>
        </is>
      </c>
      <c r="E45" s="34" t="n">
        <v>6</v>
      </c>
      <c r="F45" s="35">
        <f>IF(AND($U45&lt;&gt;"",REGIME="none"),"N/A",IF(AND($U45&lt;&gt;"",$U45&lt;&gt;"any",ISERROR(SEARCH(REGIME,$U45))),"N/A",IF(VLOOKUP($T45,GATES,2,FALSE)="Yes","Yes","N/A")))</f>
        <v/>
      </c>
      <c r="G45" s="36" t="inlineStr">
        <is>
          <t>No</t>
        </is>
      </c>
      <c r="H45" s="37" t="n"/>
      <c r="I45" s="34" t="inlineStr">
        <is>
          <t>—</t>
        </is>
      </c>
      <c r="J45" s="38">
        <f>IFERROR(VLOOKUP($I45,PROV_CREDIT,2,FALSE),1)</f>
        <v/>
      </c>
      <c r="K45" s="39">
        <f>IF($F45="N/A",0,$E45*IF(ISNUMBER($H45),MEDIAN(0,$H45,1),IF($G45="Yes",1,IF($G45="Partial",0.5,0)))*$J45)</f>
        <v/>
      </c>
      <c r="L45" s="40">
        <f>IF($F45="N/A",0,$E45)</f>
        <v/>
      </c>
      <c r="M45" s="39">
        <f>$L45-$K45</f>
        <v/>
      </c>
      <c r="N45" s="38">
        <f>IF($L45=0,0,ROUND($M45/SUMIF($B$2:$B$107,$B45,$L$2:$L$107)*100*IFERROR(VLOOKUP($B45,Scorecard!$A$6:$C$12,3,FALSE),0),2))</f>
        <v/>
      </c>
      <c r="O45" s="41" t="inlineStr">
        <is>
          <t>at least one api property has type == "JSONSchema"</t>
        </is>
      </c>
      <c r="P45" s="42" t="inlineStr">
        <is>
          <t>At least one JSON Schema is published as its own artifact, so the data model can be validated against and reused independently of any single API.</t>
        </is>
      </c>
      <c r="Q45" s="43" t="n"/>
      <c r="R45" s="44" t="n"/>
      <c r="S45" s="43" t="n"/>
      <c r="T45" s="32" t="inlineStr">
        <is>
          <t>always</t>
        </is>
      </c>
      <c r="U45" s="32" t="inlineStr"/>
      <c r="V45" s="35">
        <f>$N45-ROW()/100000</f>
        <v/>
      </c>
    </row>
    <row r="46">
      <c r="A46" s="31" t="inlineStr">
        <is>
          <t>JSON Schema</t>
        </is>
      </c>
      <c r="B46" s="31" t="inlineStr">
        <is>
          <t>Contract Quality</t>
        </is>
      </c>
      <c r="C46" s="32" t="inlineStr">
        <is>
          <t>json_schema_per_resource</t>
        </is>
      </c>
      <c r="D46" s="33" t="inlineStr">
        <is>
          <t>Schema per resource</t>
        </is>
      </c>
      <c r="E46" s="34" t="n">
        <v>4</v>
      </c>
      <c r="F46" s="35">
        <f>IF(AND($U46&lt;&gt;"",REGIME="none"),"N/A",IF(AND($U46&lt;&gt;"",$U46&lt;&gt;"any",ISERROR(SEARCH(REGIME,$U46))),"N/A",IF(VLOOKUP($T46,GATES,2,FALSE)="Yes","Yes","N/A")))</f>
        <v/>
      </c>
      <c r="G46" s="36" t="inlineStr">
        <is>
          <t>No</t>
        </is>
      </c>
      <c r="H46" s="37" t="n"/>
      <c r="I46" s="34" t="inlineStr">
        <is>
          <t>—</t>
        </is>
      </c>
      <c r="J46" s="38">
        <f>IFERROR(VLOOKUP($I46,PROV_CREDIT,2,FALSE),1)</f>
        <v/>
      </c>
      <c r="K46" s="39">
        <f>IF($F46="N/A",0,$E46*IF(ISNUMBER($H46),MEDIAN(0,$H46,1),IF($G46="Yes",1,IF($G46="Partial",0.5,0)))*$J46)</f>
        <v/>
      </c>
      <c r="L46" s="40">
        <f>IF($F46="N/A",0,$E46)</f>
        <v/>
      </c>
      <c r="M46" s="39">
        <f>$L46-$K46</f>
        <v/>
      </c>
      <c r="N46" s="38">
        <f>IF($L46=0,0,ROUND($M46/SUMIF($B$2:$B$107,$B46,$L$2:$L$107)*100*IFERROR(VLOOKUP($B46,Scorecard!$A$6:$C$12,3,FALSE),0),2))</f>
        <v/>
      </c>
      <c r="O46" s="41" t="inlineStr">
        <is>
          <t>schemas extracted per primary resource (&gt;= 2)</t>
        </is>
      </c>
      <c r="P46" s="42" t="inlineStr">
        <is>
          <t>Two or more schemas, broken out per primary resource rather than one catch-all document — evidence the data model is decomposed.</t>
        </is>
      </c>
      <c r="Q46" s="43" t="n"/>
      <c r="R46" s="44" t="n"/>
      <c r="S46" s="43" t="n"/>
      <c r="T46" s="32" t="inlineStr">
        <is>
          <t>always</t>
        </is>
      </c>
      <c r="U46" s="32" t="inlineStr"/>
      <c r="V46" s="35">
        <f>$N46-ROW()/100000</f>
        <v/>
      </c>
    </row>
    <row r="47">
      <c r="A47" s="31" t="inlineStr">
        <is>
          <t>JSON-LD</t>
        </is>
      </c>
      <c r="B47" s="31" t="inlineStr">
        <is>
          <t>Contract Quality</t>
        </is>
      </c>
      <c r="C47" s="32" t="inlineStr">
        <is>
          <t>json_ld_present</t>
        </is>
      </c>
      <c r="D47" s="33" t="inlineStr">
        <is>
          <t>Publishes a JSON-LD context</t>
        </is>
      </c>
      <c r="E47" s="34" t="n">
        <v>5</v>
      </c>
      <c r="F47" s="35">
        <f>IF(AND($U47&lt;&gt;"",REGIME="none"),"N/A",IF(AND($U47&lt;&gt;"",$U47&lt;&gt;"any",ISERROR(SEARCH(REGIME,$U47))),"N/A",IF(VLOOKUP($T47,GATES,2,FALSE)="Yes","Yes","N/A")))</f>
        <v/>
      </c>
      <c r="G47" s="36" t="inlineStr">
        <is>
          <t>No</t>
        </is>
      </c>
      <c r="H47" s="37" t="n"/>
      <c r="I47" s="34" t="inlineStr">
        <is>
          <t>—</t>
        </is>
      </c>
      <c r="J47" s="38">
        <f>IFERROR(VLOOKUP($I47,PROV_CREDIT,2,FALSE),1)</f>
        <v/>
      </c>
      <c r="K47" s="39">
        <f>IF($F47="N/A",0,$E47*IF(ISNUMBER($H47),MEDIAN(0,$H47,1),IF($G47="Yes",1,IF($G47="Partial",0.5,0)))*$J47)</f>
        <v/>
      </c>
      <c r="L47" s="40">
        <f>IF($F47="N/A",0,$E47)</f>
        <v/>
      </c>
      <c r="M47" s="39">
        <f>$L47-$K47</f>
        <v/>
      </c>
      <c r="N47" s="38">
        <f>IF($L47=0,0,ROUND($M47/SUMIF($B$2:$B$107,$B47,$L$2:$L$107)*100*IFERROR(VLOOKUP($B47,Scorecard!$A$6:$C$12,3,FALSE),0),2))</f>
        <v/>
      </c>
      <c r="O47" s="41" t="inlineStr">
        <is>
          <t>at least one jsonld context defined</t>
        </is>
      </c>
      <c r="P47" s="42" t="inlineStr">
        <is>
          <t>At least one JSON-LD context is defined, binding the API's terms to shared semantics instead of leaving field names to be guessed from spelling.</t>
        </is>
      </c>
      <c r="Q47" s="43" t="n"/>
      <c r="R47" s="44" t="n"/>
      <c r="S47" s="43" t="n"/>
      <c r="T47" s="32" t="inlineStr">
        <is>
          <t>always</t>
        </is>
      </c>
      <c r="U47" s="32" t="inlineStr"/>
      <c r="V47" s="35">
        <f>$N47-ROW()/100000</f>
        <v/>
      </c>
    </row>
    <row r="48">
      <c r="A48" s="31" t="inlineStr">
        <is>
          <t>JSON-LD</t>
        </is>
      </c>
      <c r="B48" s="31" t="inlineStr">
        <is>
          <t>Contract Quality</t>
        </is>
      </c>
      <c r="C48" s="32" t="inlineStr">
        <is>
          <t>json_ld_class_depth</t>
        </is>
      </c>
      <c r="D48" s="33" t="inlineStr">
        <is>
          <t>Context defines classes</t>
        </is>
      </c>
      <c r="E48" s="34" t="n">
        <v>3</v>
      </c>
      <c r="F48" s="35">
        <f>IF(AND($U48&lt;&gt;"",REGIME="none"),"N/A",IF(AND($U48&lt;&gt;"",$U48&lt;&gt;"any",ISERROR(SEARCH(REGIME,$U48))),"N/A",IF(VLOOKUP($T48,GATES,2,FALSE)="Yes","Yes","N/A")))</f>
        <v/>
      </c>
      <c r="G48" s="36" t="inlineStr">
        <is>
          <t>No</t>
        </is>
      </c>
      <c r="H48" s="37" t="n"/>
      <c r="I48" s="34" t="inlineStr">
        <is>
          <t>—</t>
        </is>
      </c>
      <c r="J48" s="38">
        <f>IFERROR(VLOOKUP($I48,PROV_CREDIT,2,FALSE),1)</f>
        <v/>
      </c>
      <c r="K48" s="39">
        <f>IF($F48="N/A",0,$E48*IF(ISNUMBER($H48),MEDIAN(0,$H48,1),IF($G48="Yes",1,IF($G48="Partial",0.5,0)))*$J48)</f>
        <v/>
      </c>
      <c r="L48" s="40">
        <f>IF($F48="N/A",0,$E48)</f>
        <v/>
      </c>
      <c r="M48" s="39">
        <f>$L48-$K48</f>
        <v/>
      </c>
      <c r="N48" s="38">
        <f>IF($L48=0,0,ROUND($M48/SUMIF($B$2:$B$107,$B48,$L$2:$L$107)*100*IFERROR(VLOOKUP($B48,Scorecard!$A$6:$C$12,3,FALSE),0),2))</f>
        <v/>
      </c>
      <c r="O48" s="41" t="inlineStr">
        <is>
          <t>any jsonld context has class_count &gt;= 5</t>
        </is>
      </c>
      <c r="P48" s="42" t="inlineStr">
        <is>
          <t>Five or more classes in a context — a modelled domain rather than a token gesture at semantics.</t>
        </is>
      </c>
      <c r="Q48" s="43" t="n"/>
      <c r="R48" s="44" t="n"/>
      <c r="S48" s="43" t="n"/>
      <c r="T48" s="32" t="inlineStr">
        <is>
          <t>always</t>
        </is>
      </c>
      <c r="U48" s="32" t="inlineStr"/>
      <c r="V48" s="35">
        <f>$N48-ROW()/100000</f>
        <v/>
      </c>
    </row>
    <row r="49">
      <c r="A49" s="31" t="inlineStr">
        <is>
          <t>JSON-LD</t>
        </is>
      </c>
      <c r="B49" s="31" t="inlineStr">
        <is>
          <t>Contract Quality</t>
        </is>
      </c>
      <c r="C49" s="32" t="inlineStr">
        <is>
          <t>json_ld_property_depth</t>
        </is>
      </c>
      <c r="D49" s="33" t="inlineStr">
        <is>
          <t>Context defines properties</t>
        </is>
      </c>
      <c r="E49" s="34" t="n">
        <v>3</v>
      </c>
      <c r="F49" s="35">
        <f>IF(AND($U49&lt;&gt;"",REGIME="none"),"N/A",IF(AND($U49&lt;&gt;"",$U49&lt;&gt;"any",ISERROR(SEARCH(REGIME,$U49))),"N/A",IF(VLOOKUP($T49,GATES,2,FALSE)="Yes","Yes","N/A")))</f>
        <v/>
      </c>
      <c r="G49" s="36" t="inlineStr">
        <is>
          <t>No</t>
        </is>
      </c>
      <c r="H49" s="37" t="n"/>
      <c r="I49" s="34" t="inlineStr">
        <is>
          <t>—</t>
        </is>
      </c>
      <c r="J49" s="38">
        <f>IFERROR(VLOOKUP($I49,PROV_CREDIT,2,FALSE),1)</f>
        <v/>
      </c>
      <c r="K49" s="39">
        <f>IF($F49="N/A",0,$E49*IF(ISNUMBER($H49),MEDIAN(0,$H49,1),IF($G49="Yes",1,IF($G49="Partial",0.5,0)))*$J49)</f>
        <v/>
      </c>
      <c r="L49" s="40">
        <f>IF($F49="N/A",0,$E49)</f>
        <v/>
      </c>
      <c r="M49" s="39">
        <f>$L49-$K49</f>
        <v/>
      </c>
      <c r="N49" s="38">
        <f>IF($L49=0,0,ROUND($M49/SUMIF($B$2:$B$107,$B49,$L$2:$L$107)*100*IFERROR(VLOOKUP($B49,Scorecard!$A$6:$C$12,3,FALSE),0),2))</f>
        <v/>
      </c>
      <c r="O49" s="41" t="inlineStr">
        <is>
          <t>any jsonld context has property_count &gt;= 10</t>
        </is>
      </c>
      <c r="P49" s="42" t="inlineStr">
        <is>
          <t>Ten or more properties, giving the classes enough detail to be useful to a consumer mapping the API onto their own model.</t>
        </is>
      </c>
      <c r="Q49" s="43" t="n"/>
      <c r="R49" s="44" t="n"/>
      <c r="S49" s="43" t="n"/>
      <c r="T49" s="32" t="inlineStr">
        <is>
          <t>always</t>
        </is>
      </c>
      <c r="U49" s="32" t="inlineStr"/>
      <c r="V49" s="35">
        <f>$N49-ROW()/100000</f>
        <v/>
      </c>
    </row>
    <row r="50">
      <c r="A50" s="31" t="inlineStr">
        <is>
          <t>Spectral Rules</t>
        </is>
      </c>
      <c r="B50" s="31" t="inlineStr">
        <is>
          <t>Governance</t>
        </is>
      </c>
      <c r="C50" s="32" t="inlineStr">
        <is>
          <t>rules_present</t>
        </is>
      </c>
      <c r="D50" s="33" t="inlineStr">
        <is>
          <t>Publishes a ruleset</t>
        </is>
      </c>
      <c r="E50" s="34" t="n">
        <v>10</v>
      </c>
      <c r="F50" s="35">
        <f>IF(AND($U50&lt;&gt;"",REGIME="none"),"N/A",IF(AND($U50&lt;&gt;"",$U50&lt;&gt;"any",ISERROR(SEARCH(REGIME,$U50))),"N/A",IF(VLOOKUP($T50,GATES,2,FALSE)="Yes","Yes","N/A")))</f>
        <v/>
      </c>
      <c r="G50" s="36" t="inlineStr">
        <is>
          <t>No</t>
        </is>
      </c>
      <c r="H50" s="37" t="n"/>
      <c r="I50" s="34" t="inlineStr">
        <is>
          <t>—</t>
        </is>
      </c>
      <c r="J50" s="38">
        <f>IFERROR(VLOOKUP($I50,PROV_CREDIT,2,FALSE),1)</f>
        <v/>
      </c>
      <c r="K50" s="39">
        <f>IF($F50="N/A",0,$E50*IF(ISNUMBER($H50),MEDIAN(0,$H50,1),IF($G50="Yes",1,IF($G50="Partial",0.5,0)))*$J50)</f>
        <v/>
      </c>
      <c r="L50" s="40">
        <f>IF($F50="N/A",0,$E50)</f>
        <v/>
      </c>
      <c r="M50" s="39">
        <f>$L50-$K50</f>
        <v/>
      </c>
      <c r="N50" s="38">
        <f>IF($L50=0,0,ROUND($M50/SUMIF($B$2:$B$107,$B50,$L$2:$L$107)*100*IFERROR(VLOOKUP($B50,Scorecard!$A$6:$C$12,3,FALSE),0),2))</f>
        <v/>
      </c>
      <c r="O50" s="41" t="inlineStr">
        <is>
          <t>rules[0].rule_count &gt;= 1</t>
        </is>
      </c>
      <c r="P50" s="42" t="inlineStr">
        <is>
          <t>A Spectral ruleset exists. The provider has written down what "good" means for their API surface instead of leaving it to reviewer taste.</t>
        </is>
      </c>
      <c r="Q50" s="43" t="n"/>
      <c r="R50" s="44" t="n"/>
      <c r="S50" s="43" t="n"/>
      <c r="T50" s="32" t="inlineStr">
        <is>
          <t>always</t>
        </is>
      </c>
      <c r="U50" s="32" t="inlineStr"/>
      <c r="V50" s="35">
        <f>$N50-ROW()/100000</f>
        <v/>
      </c>
    </row>
    <row r="51">
      <c r="A51" s="31" t="inlineStr">
        <is>
          <t>Spectral Rules</t>
        </is>
      </c>
      <c r="B51" s="31" t="inlineStr">
        <is>
          <t>Governance</t>
        </is>
      </c>
      <c r="C51" s="32" t="inlineStr">
        <is>
          <t>rules_substantial</t>
        </is>
      </c>
      <c r="D51" s="33" t="inlineStr">
        <is>
          <t>Substantial ruleset</t>
        </is>
      </c>
      <c r="E51" s="34" t="n">
        <v>5</v>
      </c>
      <c r="F51" s="35">
        <f>IF(AND($U51&lt;&gt;"",REGIME="none"),"N/A",IF(AND($U51&lt;&gt;"",$U51&lt;&gt;"any",ISERROR(SEARCH(REGIME,$U51))),"N/A",IF(VLOOKUP($T51,GATES,2,FALSE)="Yes","Yes","N/A")))</f>
        <v/>
      </c>
      <c r="G51" s="36" t="inlineStr">
        <is>
          <t>No</t>
        </is>
      </c>
      <c r="H51" s="37" t="n"/>
      <c r="I51" s="34" t="inlineStr">
        <is>
          <t>—</t>
        </is>
      </c>
      <c r="J51" s="38">
        <f>IFERROR(VLOOKUP($I51,PROV_CREDIT,2,FALSE),1)</f>
        <v/>
      </c>
      <c r="K51" s="39">
        <f>IF($F51="N/A",0,$E51*IF(ISNUMBER($H51),MEDIAN(0,$H51,1),IF($G51="Yes",1,IF($G51="Partial",0.5,0)))*$J51)</f>
        <v/>
      </c>
      <c r="L51" s="40">
        <f>IF($F51="N/A",0,$E51)</f>
        <v/>
      </c>
      <c r="M51" s="39">
        <f>$L51-$K51</f>
        <v/>
      </c>
      <c r="N51" s="38">
        <f>IF($L51=0,0,ROUND($M51/SUMIF($B$2:$B$107,$B51,$L$2:$L$107)*100*IFERROR(VLOOKUP($B51,Scorecard!$A$6:$C$12,3,FALSE),0),2))</f>
        <v/>
      </c>
      <c r="O51" s="41" t="inlineStr">
        <is>
          <t>rules[0].rule_count &gt;= 20</t>
        </is>
      </c>
      <c r="P51" s="42" t="inlineStr">
        <is>
          <t>Twenty or more rules — a ruleset with real coverage rather than the handful that ship in a starter template.</t>
        </is>
      </c>
      <c r="Q51" s="43" t="n"/>
      <c r="R51" s="44" t="n"/>
      <c r="S51" s="43" t="n"/>
      <c r="T51" s="32" t="inlineStr">
        <is>
          <t>always</t>
        </is>
      </c>
      <c r="U51" s="32" t="inlineStr"/>
      <c r="V51" s="35">
        <f>$N51-ROW()/100000</f>
        <v/>
      </c>
    </row>
    <row r="52">
      <c r="A52" s="31" t="inlineStr">
        <is>
          <t>Spectral Rules</t>
        </is>
      </c>
      <c r="B52" s="31" t="inlineStr">
        <is>
          <t>Governance</t>
        </is>
      </c>
      <c r="C52" s="32" t="inlineStr">
        <is>
          <t>low_error_density</t>
        </is>
      </c>
      <c r="D52" s="33" t="inlineStr">
        <is>
          <t>Low error density</t>
        </is>
      </c>
      <c r="E52" s="34" t="n">
        <v>10</v>
      </c>
      <c r="F52" s="35">
        <f>IF(AND($U52&lt;&gt;"",REGIME="none"),"N/A",IF(AND($U52&lt;&gt;"",$U52&lt;&gt;"any",ISERROR(SEARCH(REGIME,$U52))),"N/A",IF(VLOOKUP($T52,GATES,2,FALSE)="Yes","Yes","N/A")))</f>
        <v/>
      </c>
      <c r="G52" s="36" t="inlineStr">
        <is>
          <t>No</t>
        </is>
      </c>
      <c r="H52" s="37" t="n"/>
      <c r="I52" s="34" t="inlineStr">
        <is>
          <t>—</t>
        </is>
      </c>
      <c r="J52" s="38">
        <f>IFERROR(VLOOKUP($I52,PROV_CREDIT,2,FALSE),1)</f>
        <v/>
      </c>
      <c r="K52" s="39">
        <f>IF($F52="N/A",0,$E52*IF(ISNUMBER($H52),MEDIAN(0,$H52,1),IF($G52="Yes",1,IF($G52="Partial",0.5,0)))*$J52)</f>
        <v/>
      </c>
      <c r="L52" s="40">
        <f>IF($F52="N/A",0,$E52)</f>
        <v/>
      </c>
      <c r="M52" s="39">
        <f>$L52-$K52</f>
        <v/>
      </c>
      <c r="N52" s="38">
        <f>IF($L52=0,0,ROUND($M52/SUMIF($B$2:$B$107,$B52,$L$2:$L$107)*100*IFERROR(VLOOKUP($B52,Scorecard!$A$6:$C$12,3,FALSE),0),2))</f>
        <v/>
      </c>
      <c r="O52" s="41" t="inlineStr">
        <is>
          <t>severity_counts.error / rule_count &lt;= 0.20</t>
        </is>
      </c>
      <c r="P52" s="42" t="inlineStr">
        <is>
          <t>No more than 20% of rules fire at error severity against the provider's own specs. Measures whether governance is actually being met, not just declared.</t>
        </is>
      </c>
      <c r="Q52" s="43" t="n"/>
      <c r="R52" s="44" t="n"/>
      <c r="S52" s="43" t="n"/>
      <c r="T52" s="32" t="inlineStr">
        <is>
          <t>always</t>
        </is>
      </c>
      <c r="U52" s="32" t="inlineStr"/>
      <c r="V52" s="35">
        <f>$N52-ROW()/100000</f>
        <v/>
      </c>
    </row>
    <row r="53">
      <c r="A53" s="31" t="inlineStr">
        <is>
          <t>Spectral Rules</t>
        </is>
      </c>
      <c r="B53" s="31" t="inlineStr">
        <is>
          <t>Governance</t>
        </is>
      </c>
      <c r="C53" s="32" t="inlineStr">
        <is>
          <t>zero_errors</t>
        </is>
      </c>
      <c r="D53" s="33" t="inlineStr">
        <is>
          <t>Clean lint</t>
        </is>
      </c>
      <c r="E53" s="34" t="n">
        <v>5</v>
      </c>
      <c r="F53" s="35">
        <f>IF(AND($U53&lt;&gt;"",REGIME="none"),"N/A",IF(AND($U53&lt;&gt;"",$U53&lt;&gt;"any",ISERROR(SEARCH(REGIME,$U53))),"N/A",IF(VLOOKUP($T53,GATES,2,FALSE)="Yes","Yes","N/A")))</f>
        <v/>
      </c>
      <c r="G53" s="36" t="inlineStr">
        <is>
          <t>No</t>
        </is>
      </c>
      <c r="H53" s="37" t="n"/>
      <c r="I53" s="34" t="inlineStr">
        <is>
          <t>—</t>
        </is>
      </c>
      <c r="J53" s="38">
        <f>IFERROR(VLOOKUP($I53,PROV_CREDIT,2,FALSE),1)</f>
        <v/>
      </c>
      <c r="K53" s="39">
        <f>IF($F53="N/A",0,$E53*IF(ISNUMBER($H53),MEDIAN(0,$H53,1),IF($G53="Yes",1,IF($G53="Partial",0.5,0)))*$J53)</f>
        <v/>
      </c>
      <c r="L53" s="40">
        <f>IF($F53="N/A",0,$E53)</f>
        <v/>
      </c>
      <c r="M53" s="39">
        <f>$L53-$K53</f>
        <v/>
      </c>
      <c r="N53" s="38">
        <f>IF($L53=0,0,ROUND($M53/SUMIF($B$2:$B$107,$B53,$L$2:$L$107)*100*IFERROR(VLOOKUP($B53,Scorecard!$A$6:$C$12,3,FALSE),0),2))</f>
        <v/>
      </c>
      <c r="O53" s="41" t="inlineStr">
        <is>
          <t>severity_counts.error == 0</t>
        </is>
      </c>
      <c r="P53" s="42" t="inlineStr">
        <is>
          <t>The provider's specs pass their own ruleset with zero errors. Awarded on top of low error density.</t>
        </is>
      </c>
      <c r="Q53" s="43" t="n"/>
      <c r="R53" s="44" t="n"/>
      <c r="S53" s="43" t="n"/>
      <c r="T53" s="32" t="inlineStr">
        <is>
          <t>always</t>
        </is>
      </c>
      <c r="U53" s="32" t="inlineStr"/>
      <c r="V53" s="35">
        <f>$N53-ROW()/100000</f>
        <v/>
      </c>
    </row>
    <row r="54">
      <c r="A54" s="31" t="inlineStr">
        <is>
          <t>Spectral Rules</t>
        </is>
      </c>
      <c r="B54" s="31" t="inlineStr">
        <is>
          <t>Governance</t>
        </is>
      </c>
      <c r="C54" s="32" t="inlineStr">
        <is>
          <t>balanced_severities</t>
        </is>
      </c>
      <c r="D54" s="33" t="inlineStr">
        <is>
          <t>Balanced severities</t>
        </is>
      </c>
      <c r="E54" s="34" t="n">
        <v>3</v>
      </c>
      <c r="F54" s="35">
        <f>IF(AND($U54&lt;&gt;"",REGIME="none"),"N/A",IF(AND($U54&lt;&gt;"",$U54&lt;&gt;"any",ISERROR(SEARCH(REGIME,$U54))),"N/A",IF(VLOOKUP($T54,GATES,2,FALSE)="Yes","Yes","N/A")))</f>
        <v/>
      </c>
      <c r="G54" s="36" t="inlineStr">
        <is>
          <t>No</t>
        </is>
      </c>
      <c r="H54" s="37" t="n"/>
      <c r="I54" s="34" t="inlineStr">
        <is>
          <t>—</t>
        </is>
      </c>
      <c r="J54" s="38">
        <f>IFERROR(VLOOKUP($I54,PROV_CREDIT,2,FALSE),1)</f>
        <v/>
      </c>
      <c r="K54" s="39">
        <f>IF($F54="N/A",0,$E54*IF(ISNUMBER($H54),MEDIAN(0,$H54,1),IF($G54="Yes",1,IF($G54="Partial",0.5,0)))*$J54)</f>
        <v/>
      </c>
      <c r="L54" s="40">
        <f>IF($F54="N/A",0,$E54)</f>
        <v/>
      </c>
      <c r="M54" s="39">
        <f>$L54-$K54</f>
        <v/>
      </c>
      <c r="N54" s="38">
        <f>IF($L54=0,0,ROUND($M54/SUMIF($B$2:$B$107,$B54,$L$2:$L$107)*100*IFERROR(VLOOKUP($B54,Scorecard!$A$6:$C$12,3,FALSE),0),2))</f>
        <v/>
      </c>
      <c r="O54" s="41" t="inlineStr">
        <is>
          <t>warn and info both &gt; 0</t>
        </is>
      </c>
      <c r="P54" s="42" t="inlineStr">
        <is>
          <t>The ruleset uses warn and info, not only error. A ruleset where everything is an error cannot express guidance — only refusal.</t>
        </is>
      </c>
      <c r="Q54" s="43" t="n"/>
      <c r="R54" s="44" t="n"/>
      <c r="S54" s="43" t="n"/>
      <c r="T54" s="32" t="inlineStr">
        <is>
          <t>always</t>
        </is>
      </c>
      <c r="U54" s="32" t="inlineStr"/>
      <c r="V54" s="35">
        <f>$N54-ROW()/100000</f>
        <v/>
      </c>
    </row>
    <row r="55">
      <c r="A55" s="31" t="inlineStr">
        <is>
          <t>Spectral Rules</t>
        </is>
      </c>
      <c r="B55" s="31" t="inlineStr">
        <is>
          <t>Governance</t>
        </is>
      </c>
      <c r="C55" s="32" t="inlineStr">
        <is>
          <t>vocabulary_published</t>
        </is>
      </c>
      <c r="D55" s="33" t="inlineStr">
        <is>
          <t>Publishes a vocabulary</t>
        </is>
      </c>
      <c r="E55" s="34" t="n">
        <v>5</v>
      </c>
      <c r="F55" s="35">
        <f>IF(AND($U55&lt;&gt;"",REGIME="none"),"N/A",IF(AND($U55&lt;&gt;"",$U55&lt;&gt;"any",ISERROR(SEARCH(REGIME,$U55))),"N/A",IF(VLOOKUP($T55,GATES,2,FALSE)="Yes","Yes","N/A")))</f>
        <v/>
      </c>
      <c r="G55" s="36" t="inlineStr">
        <is>
          <t>No</t>
        </is>
      </c>
      <c r="H55" s="37" t="n"/>
      <c r="I55" s="34" t="inlineStr">
        <is>
          <t>—</t>
        </is>
      </c>
      <c r="J55" s="38">
        <f>IFERROR(VLOOKUP($I55,PROV_CREDIT,2,FALSE),1)</f>
        <v/>
      </c>
      <c r="K55" s="39">
        <f>IF($F55="N/A",0,$E55*IF(ISNUMBER($H55),MEDIAN(0,$H55,1),IF($G55="Yes",1,IF($G55="Partial",0.5,0)))*$J55)</f>
        <v/>
      </c>
      <c r="L55" s="40">
        <f>IF($F55="N/A",0,$E55)</f>
        <v/>
      </c>
      <c r="M55" s="39">
        <f>$L55-$K55</f>
        <v/>
      </c>
      <c r="N55" s="38">
        <f>IF($L55=0,0,ROUND($M55/SUMIF($B$2:$B$107,$B55,$L$2:$L$107)*100*IFERROR(VLOOKUP($B55,Scorecard!$A$6:$C$12,3,FALSE),0),2))</f>
        <v/>
      </c>
      <c r="O55" s="41" t="inlineStr">
        <is>
          <t>common[].type includes "Vocabulary"</t>
        </is>
      </c>
      <c r="P55" s="42" t="inlineStr">
        <is>
          <t>A controlled vocabulary is published, so the provider's naming is a documented decision rather than an accident of whoever wrote each endpoint.</t>
        </is>
      </c>
      <c r="Q55" s="43" t="n"/>
      <c r="R55" s="44" t="n"/>
      <c r="S55" s="43" t="n"/>
      <c r="T55" s="32" t="inlineStr">
        <is>
          <t>always</t>
        </is>
      </c>
      <c r="U55" s="32" t="inlineStr"/>
      <c r="V55" s="35">
        <f>$N55-ROW()/100000</f>
        <v/>
      </c>
    </row>
    <row r="56">
      <c r="A56" s="31" t="inlineStr">
        <is>
          <t>Spectral Rules</t>
        </is>
      </c>
      <c r="B56" s="31" t="inlineStr">
        <is>
          <t>Governance</t>
        </is>
      </c>
      <c r="C56" s="32" t="inlineStr">
        <is>
          <t>conformance_declared</t>
        </is>
      </c>
      <c r="D56" s="33" t="inlineStr">
        <is>
          <t>Declared conformance profile</t>
        </is>
      </c>
      <c r="E56" s="34" t="n">
        <v>6</v>
      </c>
      <c r="F56" s="35">
        <f>IF(AND($U56&lt;&gt;"",REGIME="none"),"N/A",IF(AND($U56&lt;&gt;"",$U56&lt;&gt;"any",ISERROR(SEARCH(REGIME,$U56))),"N/A",IF(VLOOKUP($T56,GATES,2,FALSE)="Yes","Yes","N/A")))</f>
        <v/>
      </c>
      <c r="G56" s="36" t="inlineStr">
        <is>
          <t>No</t>
        </is>
      </c>
      <c r="H56" s="37" t="n"/>
      <c r="I56" s="36" t="inlineStr">
        <is>
          <t>first-party</t>
        </is>
      </c>
      <c r="J56" s="38">
        <f>IFERROR(VLOOKUP($I56,PROV_CREDIT,2,FALSE),1)</f>
        <v/>
      </c>
      <c r="K56" s="39">
        <f>IF($F56="N/A",0,$E56*IF(ISNUMBER($H56),MEDIAN(0,$H56,1),IF($G56="Yes",1,IF($G56="Partial",0.5,0)))*$J56)</f>
        <v/>
      </c>
      <c r="L56" s="40">
        <f>IF($F56="N/A",0,$E56)</f>
        <v/>
      </c>
      <c r="M56" s="39">
        <f>$L56-$K56</f>
        <v/>
      </c>
      <c r="N56" s="38">
        <f>IF($L56=0,0,ROUND($M56/SUMIF($B$2:$B$107,$B56,$L$2:$L$107)*100*IFERROR(VLOOKUP($B56,Scorecard!$A$6:$C$12,3,FALSE),0),2))</f>
        <v/>
      </c>
      <c r="O56" s="41" t="inlineStr">
        <is>
          <t>a conformance/ artifact declares conformance to named standards</t>
        </is>
      </c>
      <c r="P56" s="42" t="inlineStr">
        <is>
          <t>The provider declares which standards it conforms to — FHIR, FAPI, PCI, ISO 20022, CAMARA — as a machine-readable artifact resolving against the standards catalog, rather than as a logo on a marketing page. PROVENANCE-GRADED, and the grading is the whole point. Half the conformance artifacts in the catalog (1,881 of 3,784) are API-Evangelist-derived readings of a provider's specs, not claims the provider made. Only a first-party declaration earns full credit here. THE BOUNDARY THIS CHECK HOLDS: adopting someone else's standard is not governance. Telecom is full of organizations that joined CAMARA, TM Forum or GSMA Open Gateway and govern nothing; governance is what you do to yourself. This credits evidence of INTERNALIZATION — a declared profile, an overlay, a published lint posture — never bare membership in a programme.</t>
        </is>
      </c>
      <c r="Q56" s="43" t="n"/>
      <c r="R56" s="44" t="n"/>
      <c r="S56" s="43" t="n"/>
      <c r="T56" s="32" t="inlineStr">
        <is>
          <t>always</t>
        </is>
      </c>
      <c r="U56" s="32" t="inlineStr"/>
      <c r="V56" s="35">
        <f>$N56-ROW()/100000</f>
        <v/>
      </c>
    </row>
    <row r="57">
      <c r="A57" s="31" t="inlineStr">
        <is>
          <t>Spectral Rules</t>
        </is>
      </c>
      <c r="B57" s="31" t="inlineStr">
        <is>
          <t>Governance</t>
        </is>
      </c>
      <c r="C57" s="32" t="inlineStr">
        <is>
          <t>overlay_published</t>
        </is>
      </c>
      <c r="D57" s="33" t="inlineStr">
        <is>
          <t>Publishes an OpenAPI Overlay</t>
        </is>
      </c>
      <c r="E57" s="34" t="n">
        <v>4</v>
      </c>
      <c r="F57" s="35">
        <f>IF(AND($U57&lt;&gt;"",REGIME="none"),"N/A",IF(AND($U57&lt;&gt;"",$U57&lt;&gt;"any",ISERROR(SEARCH(REGIME,$U57))),"N/A",IF(VLOOKUP($T57,GATES,2,FALSE)="Yes","Yes","N/A")))</f>
        <v/>
      </c>
      <c r="G57" s="36" t="inlineStr">
        <is>
          <t>No</t>
        </is>
      </c>
      <c r="H57" s="37" t="n"/>
      <c r="I57" s="34" t="inlineStr">
        <is>
          <t>—</t>
        </is>
      </c>
      <c r="J57" s="38">
        <f>IFERROR(VLOOKUP($I57,PROV_CREDIT,2,FALSE),1)</f>
        <v/>
      </c>
      <c r="K57" s="39">
        <f>IF($F57="N/A",0,$E57*IF(ISNUMBER($H57),MEDIAN(0,$H57,1),IF($G57="Yes",1,IF($G57="Partial",0.5,0)))*$J57)</f>
        <v/>
      </c>
      <c r="L57" s="40">
        <f>IF($F57="N/A",0,$E57)</f>
        <v/>
      </c>
      <c r="M57" s="39">
        <f>$L57-$K57</f>
        <v/>
      </c>
      <c r="N57" s="38">
        <f>IF($L57=0,0,ROUND($M57/SUMIF($B$2:$B$107,$B57,$L$2:$L$107)*100*IFERROR(VLOOKUP($B57,Scorecard!$A$6:$C$12,3,FALSE),0),2))</f>
        <v/>
      </c>
      <c r="O57" s="41" t="inlineStr">
        <is>
          <t>overlays/ contains an OpenAPI Overlay document</t>
        </is>
      </c>
      <c r="P57" s="42" t="inlineStr">
        <is>
          <t>An OpenAPI Overlay — the provider expressing a repeatable, versioned transformation of its own contract rather than hand-editing it. Evidence of a spec pipeline, which is what governance looks like in practice.</t>
        </is>
      </c>
      <c r="Q57" s="43" t="n"/>
      <c r="R57" s="44" t="n"/>
      <c r="S57" s="43" t="n"/>
      <c r="T57" s="32" t="inlineStr">
        <is>
          <t>always</t>
        </is>
      </c>
      <c r="U57" s="32" t="inlineStr"/>
      <c r="V57" s="35">
        <f>$N57-ROW()/100000</f>
        <v/>
      </c>
    </row>
    <row r="58">
      <c r="A58" s="31" t="inlineStr">
        <is>
          <t>Operational Transparency</t>
        </is>
      </c>
      <c r="B58" s="31" t="inlineStr">
        <is>
          <t>Operational Transparency</t>
        </is>
      </c>
      <c r="C58" s="32" t="inlineStr">
        <is>
          <t>change_log_present</t>
        </is>
      </c>
      <c r="D58" s="33" t="inlineStr">
        <is>
          <t>Change log</t>
        </is>
      </c>
      <c r="E58" s="34" t="n">
        <v>6</v>
      </c>
      <c r="F58" s="35">
        <f>IF(AND($U58&lt;&gt;"",REGIME="none"),"N/A",IF(AND($U58&lt;&gt;"",$U58&lt;&gt;"any",ISERROR(SEARCH(REGIME,$U58))),"N/A",IF(VLOOKUP($T58,GATES,2,FALSE)="Yes","Yes","N/A")))</f>
        <v/>
      </c>
      <c r="G58" s="36" t="inlineStr">
        <is>
          <t>No</t>
        </is>
      </c>
      <c r="H58" s="37" t="n"/>
      <c r="I58" s="34" t="inlineStr">
        <is>
          <t>—</t>
        </is>
      </c>
      <c r="J58" s="38">
        <f>IFERROR(VLOOKUP($I58,PROV_CREDIT,2,FALSE),1)</f>
        <v/>
      </c>
      <c r="K58" s="39">
        <f>IF($F58="N/A",0,$E58*IF(ISNUMBER($H58),MEDIAN(0,$H58,1),IF($G58="Yes",1,IF($G58="Partial",0.5,0)))*$J58)</f>
        <v/>
      </c>
      <c r="L58" s="40">
        <f>IF($F58="N/A",0,$E58)</f>
        <v/>
      </c>
      <c r="M58" s="39">
        <f>$L58-$K58</f>
        <v/>
      </c>
      <c r="N58" s="38">
        <f>IF($L58=0,0,ROUND($M58/SUMIF($B$2:$B$107,$B58,$L$2:$L$107)*100*IFERROR(VLOOKUP($B58,Scorecard!$A$6:$C$12,3,FALSE),0),2))</f>
        <v/>
      </c>
      <c r="O58" s="41" t="inlineStr">
        <is>
          <t>common[].type includes "ChangeLog" (alias-aware)</t>
        </is>
      </c>
      <c r="P58" s="42" t="inlineStr">
        <is>
          <t>A published change log. The single most useful operational artifact: it lets a consumer see what moved without diffing the spec themselves.</t>
        </is>
      </c>
      <c r="Q58" s="43" t="n"/>
      <c r="R58" s="44" t="n"/>
      <c r="S58" s="43" t="n"/>
      <c r="T58" s="32" t="inlineStr">
        <is>
          <t>always</t>
        </is>
      </c>
      <c r="U58" s="32" t="inlineStr"/>
      <c r="V58" s="35">
        <f>$N58-ROW()/100000</f>
        <v/>
      </c>
    </row>
    <row r="59">
      <c r="A59" s="31" t="inlineStr">
        <is>
          <t>Operational Transparency</t>
        </is>
      </c>
      <c r="B59" s="31" t="inlineStr">
        <is>
          <t>Operational Transparency</t>
        </is>
      </c>
      <c r="C59" s="32" t="inlineStr">
        <is>
          <t>status_page_present</t>
        </is>
      </c>
      <c r="D59" s="33" t="inlineStr">
        <is>
          <t>Status page</t>
        </is>
      </c>
      <c r="E59" s="34" t="n">
        <v>6</v>
      </c>
      <c r="F59" s="35">
        <f>IF(AND($U59&lt;&gt;"",REGIME="none"),"N/A",IF(AND($U59&lt;&gt;"",$U59&lt;&gt;"any",ISERROR(SEARCH(REGIME,$U59))),"N/A",IF(VLOOKUP($T59,GATES,2,FALSE)="Yes","Yes","N/A")))</f>
        <v/>
      </c>
      <c r="G59" s="36" t="inlineStr">
        <is>
          <t>No</t>
        </is>
      </c>
      <c r="H59" s="37" t="n"/>
      <c r="I59" s="34" t="inlineStr">
        <is>
          <t>—</t>
        </is>
      </c>
      <c r="J59" s="38">
        <f>IFERROR(VLOOKUP($I59,PROV_CREDIT,2,FALSE),1)</f>
        <v/>
      </c>
      <c r="K59" s="39">
        <f>IF($F59="N/A",0,$E59*IF(ISNUMBER($H59),MEDIAN(0,$H59,1),IF($G59="Yes",1,IF($G59="Partial",0.5,0)))*$J59)</f>
        <v/>
      </c>
      <c r="L59" s="40">
        <f>IF($F59="N/A",0,$E59)</f>
        <v/>
      </c>
      <c r="M59" s="39">
        <f>$L59-$K59</f>
        <v/>
      </c>
      <c r="N59" s="38">
        <f>IF($L59=0,0,ROUND($M59/SUMIF($B$2:$B$107,$B59,$L$2:$L$107)*100*IFERROR(VLOOKUP($B59,Scorecard!$A$6:$C$12,3,FALSE),0),2))</f>
        <v/>
      </c>
      <c r="O59" s="41" t="inlineStr">
        <is>
          <t>common[].type includes "StatusPage"</t>
        </is>
      </c>
      <c r="P59" s="42" t="inlineStr">
        <is>
          <t>A status page exists, so an integrator debugging a failure can tell "the API is down" from "my code is broken" without filing a ticket.</t>
        </is>
      </c>
      <c r="Q59" s="43" t="n"/>
      <c r="R59" s="44" t="n"/>
      <c r="S59" s="43" t="n"/>
      <c r="T59" s="32" t="inlineStr">
        <is>
          <t>always</t>
        </is>
      </c>
      <c r="U59" s="32" t="inlineStr"/>
      <c r="V59" s="35">
        <f>$N59-ROW()/100000</f>
        <v/>
      </c>
    </row>
    <row r="60">
      <c r="A60" s="31" t="inlineStr">
        <is>
          <t>Operational Transparency</t>
        </is>
      </c>
      <c r="B60" s="31" t="inlineStr">
        <is>
          <t>Operational Transparency</t>
        </is>
      </c>
      <c r="C60" s="32" t="inlineStr">
        <is>
          <t>rate_limits_documented</t>
        </is>
      </c>
      <c r="D60" s="33" t="inlineStr">
        <is>
          <t>Rate limits documented</t>
        </is>
      </c>
      <c r="E60" s="34" t="n">
        <v>8</v>
      </c>
      <c r="F60" s="35">
        <f>IF(AND($U60&lt;&gt;"",REGIME="none"),"N/A",IF(AND($U60&lt;&gt;"",$U60&lt;&gt;"any",ISERROR(SEARCH(REGIME,$U60))),"N/A",IF(VLOOKUP($T60,GATES,2,FALSE)="Yes","Yes","N/A")))</f>
        <v/>
      </c>
      <c r="G60" s="36" t="inlineStr">
        <is>
          <t>No</t>
        </is>
      </c>
      <c r="H60" s="37" t="n"/>
      <c r="I60" s="34" t="inlineStr">
        <is>
          <t>—</t>
        </is>
      </c>
      <c r="J60" s="38">
        <f>IFERROR(VLOOKUP($I60,PROV_CREDIT,2,FALSE),1)</f>
        <v/>
      </c>
      <c r="K60" s="39">
        <f>IF($F60="N/A",0,$E60*IF(ISNUMBER($H60),MEDIAN(0,$H60,1),IF($G60="Yes",1,IF($G60="Partial",0.5,0)))*$J60)</f>
        <v/>
      </c>
      <c r="L60" s="40">
        <f>IF($F60="N/A",0,$E60)</f>
        <v/>
      </c>
      <c r="M60" s="39">
        <f>$L60-$K60</f>
        <v/>
      </c>
      <c r="N60" s="38">
        <f>IF($L60=0,0,ROUND($M60/SUMIF($B$2:$B$107,$B60,$L$2:$L$107)*100*IFERROR(VLOOKUP($B60,Scorecard!$A$6:$C$12,3,FALSE),0),2))</f>
        <v/>
      </c>
      <c r="O60" s="41" t="inlineStr">
        <is>
          <t>rate_limits[0].limit_count &gt;= 1</t>
        </is>
      </c>
      <c r="P60" s="42" t="inlineStr">
        <is>
          <t>Rate limits are published as machine-readable data. The heaviest award in this facet — undocumented limits are the most common cause of an integration that works in development and fails under load.</t>
        </is>
      </c>
      <c r="Q60" s="43" t="n"/>
      <c r="R60" s="44" t="n"/>
      <c r="S60" s="43" t="n"/>
      <c r="T60" s="32" t="inlineStr">
        <is>
          <t>always</t>
        </is>
      </c>
      <c r="U60" s="32" t="inlineStr"/>
      <c r="V60" s="35">
        <f>$N60-ROW()/100000</f>
        <v/>
      </c>
    </row>
    <row r="61">
      <c r="A61" s="31" t="inlineStr">
        <is>
          <t>Operational Transparency</t>
        </is>
      </c>
      <c r="B61" s="31" t="inlineStr">
        <is>
          <t>Operational Transparency</t>
        </is>
      </c>
      <c r="C61" s="32" t="inlineStr">
        <is>
          <t>rate_limits_rich</t>
        </is>
      </c>
      <c r="D61" s="33" t="inlineStr">
        <is>
          <t>Rate limits detailed</t>
        </is>
      </c>
      <c r="E61" s="34" t="n">
        <v>4</v>
      </c>
      <c r="F61" s="35">
        <f>IF(AND($U61&lt;&gt;"",REGIME="none"),"N/A",IF(AND($U61&lt;&gt;"",$U61&lt;&gt;"any",ISERROR(SEARCH(REGIME,$U61))),"N/A",IF(VLOOKUP($T61,GATES,2,FALSE)="Yes","Yes","N/A")))</f>
        <v/>
      </c>
      <c r="G61" s="36" t="inlineStr">
        <is>
          <t>No</t>
        </is>
      </c>
      <c r="H61" s="37" t="n"/>
      <c r="I61" s="34" t="inlineStr">
        <is>
          <t>—</t>
        </is>
      </c>
      <c r="J61" s="38">
        <f>IFERROR(VLOOKUP($I61,PROV_CREDIT,2,FALSE),1)</f>
        <v/>
      </c>
      <c r="K61" s="39">
        <f>IF($F61="N/A",0,$E61*IF(ISNUMBER($H61),MEDIAN(0,$H61,1),IF($G61="Yes",1,IF($G61="Partial",0.5,0)))*$J61)</f>
        <v/>
      </c>
      <c r="L61" s="40">
        <f>IF($F61="N/A",0,$E61)</f>
        <v/>
      </c>
      <c r="M61" s="39">
        <f>$L61-$K61</f>
        <v/>
      </c>
      <c r="N61" s="38">
        <f>IF($L61=0,0,ROUND($M61/SUMIF($B$2:$B$107,$B61,$L$2:$L$107)*100*IFERROR(VLOOKUP($B61,Scorecard!$A$6:$C$12,3,FALSE),0),2))</f>
        <v/>
      </c>
      <c r="O61" s="41" t="inlineStr">
        <is>
          <t>rate_limits[0].limit_count &gt;= 3</t>
        </is>
      </c>
      <c r="P61" s="42" t="inlineStr">
        <is>
          <t>Three or more distinct limits, reflecting how the API actually tiers and throttles rather than a single blanket number.</t>
        </is>
      </c>
      <c r="Q61" s="43" t="n"/>
      <c r="R61" s="44" t="n"/>
      <c r="S61" s="43" t="n"/>
      <c r="T61" s="32" t="inlineStr">
        <is>
          <t>always</t>
        </is>
      </c>
      <c r="U61" s="32" t="inlineStr"/>
      <c r="V61" s="35">
        <f>$N61-ROW()/100000</f>
        <v/>
      </c>
    </row>
    <row r="62">
      <c r="A62" s="31" t="inlineStr">
        <is>
          <t>Operational Transparency</t>
        </is>
      </c>
      <c r="B62" s="31" t="inlineStr">
        <is>
          <t>Operational Transparency</t>
        </is>
      </c>
      <c r="C62" s="32" t="inlineStr">
        <is>
          <t>deprecation_policy</t>
        </is>
      </c>
      <c r="D62" s="33" t="inlineStr">
        <is>
          <t>Deprecation policy</t>
        </is>
      </c>
      <c r="E62" s="34" t="n">
        <v>3</v>
      </c>
      <c r="F62" s="35">
        <f>IF(AND($U62&lt;&gt;"",REGIME="none"),"N/A",IF(AND($U62&lt;&gt;"",$U62&lt;&gt;"any",ISERROR(SEARCH(REGIME,$U62))),"N/A",IF(VLOOKUP($T62,GATES,2,FALSE)="Yes","Yes","N/A")))</f>
        <v/>
      </c>
      <c r="G62" s="36" t="inlineStr">
        <is>
          <t>No</t>
        </is>
      </c>
      <c r="H62" s="37" t="n"/>
      <c r="I62" s="34" t="inlineStr">
        <is>
          <t>—</t>
        </is>
      </c>
      <c r="J62" s="38">
        <f>IFERROR(VLOOKUP($I62,PROV_CREDIT,2,FALSE),1)</f>
        <v/>
      </c>
      <c r="K62" s="39">
        <f>IF($F62="N/A",0,$E62*IF(ISNUMBER($H62),MEDIAN(0,$H62,1),IF($G62="Yes",1,IF($G62="Partial",0.5,0)))*$J62)</f>
        <v/>
      </c>
      <c r="L62" s="40">
        <f>IF($F62="N/A",0,$E62)</f>
        <v/>
      </c>
      <c r="M62" s="39">
        <f>$L62-$K62</f>
        <v/>
      </c>
      <c r="N62" s="38">
        <f>IF($L62=0,0,ROUND($M62/SUMIF($B$2:$B$107,$B62,$L$2:$L$107)*100*IFERROR(VLOOKUP($B62,Scorecard!$A$6:$C$12,3,FALSE),0),2))</f>
        <v/>
      </c>
      <c r="O62" s="41" t="inlineStr">
        <is>
          <t>common[].type includes "Deprecation" (alias-aware)</t>
        </is>
      </c>
      <c r="P62" s="42" t="inlineStr">
        <is>
          <t>A stated deprecation policy — how much notice a consumer gets before something they depend on is removed.</t>
        </is>
      </c>
      <c r="Q62" s="43" t="n"/>
      <c r="R62" s="44" t="n"/>
      <c r="S62" s="43" t="n"/>
      <c r="T62" s="32" t="inlineStr">
        <is>
          <t>always</t>
        </is>
      </c>
      <c r="U62" s="32" t="inlineStr"/>
      <c r="V62" s="35">
        <f>$N62-ROW()/100000</f>
        <v/>
      </c>
    </row>
    <row r="63">
      <c r="A63" s="31" t="inlineStr">
        <is>
          <t>Operational Transparency</t>
        </is>
      </c>
      <c r="B63" s="31" t="inlineStr">
        <is>
          <t>Operational Transparency</t>
        </is>
      </c>
      <c r="C63" s="32" t="inlineStr">
        <is>
          <t>security_disclosure</t>
        </is>
      </c>
      <c r="D63" s="33" t="inlineStr">
        <is>
          <t>Security disclosure</t>
        </is>
      </c>
      <c r="E63" s="34" t="n">
        <v>4</v>
      </c>
      <c r="F63" s="35">
        <f>IF(AND($U63&lt;&gt;"",REGIME="none"),"N/A",IF(AND($U63&lt;&gt;"",$U63&lt;&gt;"any",ISERROR(SEARCH(REGIME,$U63))),"N/A",IF(VLOOKUP($T63,GATES,2,FALSE)="Yes","Yes","N/A")))</f>
        <v/>
      </c>
      <c r="G63" s="36" t="inlineStr">
        <is>
          <t>No</t>
        </is>
      </c>
      <c r="H63" s="37" t="n"/>
      <c r="I63" s="34" t="inlineStr">
        <is>
          <t>—</t>
        </is>
      </c>
      <c r="J63" s="38">
        <f>IFERROR(VLOOKUP($I63,PROV_CREDIT,2,FALSE),1)</f>
        <v/>
      </c>
      <c r="K63" s="39">
        <f>IF($F63="N/A",0,$E63*IF(ISNUMBER($H63),MEDIAN(0,$H63,1),IF($G63="Yes",1,IF($G63="Partial",0.5,0)))*$J63)</f>
        <v/>
      </c>
      <c r="L63" s="40">
        <f>IF($F63="N/A",0,$E63)</f>
        <v/>
      </c>
      <c r="M63" s="39">
        <f>$L63-$K63</f>
        <v/>
      </c>
      <c r="N63" s="38">
        <f>IF($L63=0,0,ROUND($M63/SUMIF($B$2:$B$107,$B63,$L$2:$L$107)*100*IFERROR(VLOOKUP($B63,Scorecard!$A$6:$C$12,3,FALSE),0),2))</f>
        <v/>
      </c>
      <c r="O63" s="41" t="inlineStr">
        <is>
          <t>common[].type includes "Security" (alias-aware)</t>
        </is>
      </c>
      <c r="P63" s="42" t="inlineStr">
        <is>
          <t>A route for reporting vulnerabilities. Its absence tells a security researcher to go public instead.</t>
        </is>
      </c>
      <c r="Q63" s="43" t="n"/>
      <c r="R63" s="44" t="n"/>
      <c r="S63" s="43" t="n"/>
      <c r="T63" s="32" t="inlineStr">
        <is>
          <t>always</t>
        </is>
      </c>
      <c r="U63" s="32" t="inlineStr"/>
      <c r="V63" s="35">
        <f>$N63-ROW()/100000</f>
        <v/>
      </c>
    </row>
    <row r="64">
      <c r="A64" s="31" t="inlineStr">
        <is>
          <t>Operational Transparency</t>
        </is>
      </c>
      <c r="B64" s="31" t="inlineStr">
        <is>
          <t>Operational Transparency</t>
        </is>
      </c>
      <c r="C64" s="32" t="inlineStr">
        <is>
          <t>webhooks_advertised</t>
        </is>
      </c>
      <c r="D64" s="33" t="inlineStr">
        <is>
          <t>Webhooks advertised</t>
        </is>
      </c>
      <c r="E64" s="34" t="n">
        <v>3</v>
      </c>
      <c r="F64" s="35">
        <f>IF(AND($U64&lt;&gt;"",REGIME="none"),"N/A",IF(AND($U64&lt;&gt;"",$U64&lt;&gt;"any",ISERROR(SEARCH(REGIME,$U64))),"N/A",IF(VLOOKUP($T64,GATES,2,FALSE)="Yes","Yes","N/A")))</f>
        <v/>
      </c>
      <c r="G64" s="36" t="inlineStr">
        <is>
          <t>No</t>
        </is>
      </c>
      <c r="H64" s="37" t="n"/>
      <c r="I64" s="34" t="inlineStr">
        <is>
          <t>—</t>
        </is>
      </c>
      <c r="J64" s="38">
        <f>IFERROR(VLOOKUP($I64,PROV_CREDIT,2,FALSE),1)</f>
        <v/>
      </c>
      <c r="K64" s="39">
        <f>IF($F64="N/A",0,$E64*IF(ISNUMBER($H64),MEDIAN(0,$H64,1),IF($G64="Yes",1,IF($G64="Partial",0.5,0)))*$J64)</f>
        <v/>
      </c>
      <c r="L64" s="40">
        <f>IF($F64="N/A",0,$E64)</f>
        <v/>
      </c>
      <c r="M64" s="39">
        <f>$L64-$K64</f>
        <v/>
      </c>
      <c r="N64" s="38">
        <f>IF($L64=0,0,ROUND($M64/SUMIF($B$2:$B$107,$B64,$L$2:$L$107)*100*IFERROR(VLOOKUP($B64,Scorecard!$A$6:$C$12,3,FALSE),0),2))</f>
        <v/>
      </c>
      <c r="O64" s="41" t="inlineStr">
        <is>
          <t>common[].type includes "Webhooks"</t>
        </is>
      </c>
      <c r="P64" s="42" t="inlineStr">
        <is>
          <t>The provider advertises a webhook surface, so consumers can react to events rather than poll for them.</t>
        </is>
      </c>
      <c r="Q64" s="43" t="n"/>
      <c r="R64" s="44" t="n"/>
      <c r="S64" s="43" t="n"/>
      <c r="T64" s="32" t="inlineStr">
        <is>
          <t>always</t>
        </is>
      </c>
      <c r="U64" s="32" t="inlineStr"/>
      <c r="V64" s="35">
        <f>$N64-ROW()/100000</f>
        <v/>
      </c>
    </row>
    <row r="65">
      <c r="A65" s="31" t="inlineStr">
        <is>
          <t>Operational Transparency</t>
        </is>
      </c>
      <c r="B65" s="31" t="inlineStr">
        <is>
          <t>Operational Transparency</t>
        </is>
      </c>
      <c r="C65" s="32" t="inlineStr">
        <is>
          <t>github_org_present</t>
        </is>
      </c>
      <c r="D65" s="33" t="inlineStr">
        <is>
          <t>GitHub organization</t>
        </is>
      </c>
      <c r="E65" s="34" t="n">
        <v>2</v>
      </c>
      <c r="F65" s="35">
        <f>IF(AND($U65&lt;&gt;"",REGIME="none"),"N/A",IF(AND($U65&lt;&gt;"",$U65&lt;&gt;"any",ISERROR(SEARCH(REGIME,$U65))),"N/A",IF(VLOOKUP($T65,GATES,2,FALSE)="Yes","Yes","N/A")))</f>
        <v/>
      </c>
      <c r="G65" s="36" t="inlineStr">
        <is>
          <t>No</t>
        </is>
      </c>
      <c r="H65" s="37" t="n"/>
      <c r="I65" s="34" t="inlineStr">
        <is>
          <t>—</t>
        </is>
      </c>
      <c r="J65" s="38">
        <f>IFERROR(VLOOKUP($I65,PROV_CREDIT,2,FALSE),1)</f>
        <v/>
      </c>
      <c r="K65" s="39">
        <f>IF($F65="N/A",0,$E65*IF(ISNUMBER($H65),MEDIAN(0,$H65,1),IF($G65="Yes",1,IF($G65="Partial",0.5,0)))*$J65)</f>
        <v/>
      </c>
      <c r="L65" s="40">
        <f>IF($F65="N/A",0,$E65)</f>
        <v/>
      </c>
      <c r="M65" s="39">
        <f>$L65-$K65</f>
        <v/>
      </c>
      <c r="N65" s="38">
        <f>IF($L65=0,0,ROUND($M65/SUMIF($B$2:$B$107,$B65,$L$2:$L$107)*100*IFERROR(VLOOKUP($B65,Scorecard!$A$6:$C$12,3,FALSE),0),2))</f>
        <v/>
      </c>
      <c r="O65" s="41" t="inlineStr">
        <is>
          <t>common[].type includes "GitHubOrganization" (alias-aware)</t>
        </is>
      </c>
      <c r="P65" s="42" t="inlineStr">
        <is>
          <t>A public GitHub organization — where SDKs, specs, and issues live in the open.</t>
        </is>
      </c>
      <c r="Q65" s="43" t="n"/>
      <c r="R65" s="44" t="n"/>
      <c r="S65" s="43" t="n"/>
      <c r="T65" s="32" t="inlineStr">
        <is>
          <t>always</t>
        </is>
      </c>
      <c r="U65" s="32" t="inlineStr"/>
      <c r="V65" s="35">
        <f>$N65-ROW()/100000</f>
        <v/>
      </c>
    </row>
    <row r="66">
      <c r="A66" s="31" t="inlineStr">
        <is>
          <t>Operational Transparency</t>
        </is>
      </c>
      <c r="B66" s="31" t="inlineStr">
        <is>
          <t>Operational Transparency</t>
        </is>
      </c>
      <c r="C66" s="32" t="inlineStr">
        <is>
          <t>roadmap_present</t>
        </is>
      </c>
      <c r="D66" s="33" t="inlineStr">
        <is>
          <t>Public roadmap</t>
        </is>
      </c>
      <c r="E66" s="34" t="n">
        <v>2</v>
      </c>
      <c r="F66" s="35">
        <f>IF(AND($U66&lt;&gt;"",REGIME="none"),"N/A",IF(AND($U66&lt;&gt;"",$U66&lt;&gt;"any",ISERROR(SEARCH(REGIME,$U66))),"N/A",IF(VLOOKUP($T66,GATES,2,FALSE)="Yes","Yes","N/A")))</f>
        <v/>
      </c>
      <c r="G66" s="36" t="inlineStr">
        <is>
          <t>No</t>
        </is>
      </c>
      <c r="H66" s="37" t="n"/>
      <c r="I66" s="34" t="inlineStr">
        <is>
          <t>—</t>
        </is>
      </c>
      <c r="J66" s="38">
        <f>IFERROR(VLOOKUP($I66,PROV_CREDIT,2,FALSE),1)</f>
        <v/>
      </c>
      <c r="K66" s="39">
        <f>IF($F66="N/A",0,$E66*IF(ISNUMBER($H66),MEDIAN(0,$H66,1),IF($G66="Yes",1,IF($G66="Partial",0.5,0)))*$J66)</f>
        <v/>
      </c>
      <c r="L66" s="40">
        <f>IF($F66="N/A",0,$E66)</f>
        <v/>
      </c>
      <c r="M66" s="39">
        <f>$L66-$K66</f>
        <v/>
      </c>
      <c r="N66" s="38">
        <f>IF($L66=0,0,ROUND($M66/SUMIF($B$2:$B$107,$B66,$L$2:$L$107)*100*IFERROR(VLOOKUP($B66,Scorecard!$A$6:$C$12,3,FALSE),0),2))</f>
        <v/>
      </c>
      <c r="O66" s="41" t="inlineStr">
        <is>
          <t>common[].type includes "RoadMap" or "Roadmap"</t>
        </is>
      </c>
      <c r="P66" s="42" t="inlineStr">
        <is>
          <t>A public roadmap, letting consumers plan against where the API is going rather than only where it is.</t>
        </is>
      </c>
      <c r="Q66" s="43" t="n"/>
      <c r="R66" s="44" t="n"/>
      <c r="S66" s="43" t="n"/>
      <c r="T66" s="32" t="inlineStr">
        <is>
          <t>always</t>
        </is>
      </c>
      <c r="U66" s="32" t="inlineStr"/>
      <c r="V66" s="35">
        <f>$N66-ROW()/100000</f>
        <v/>
      </c>
    </row>
    <row r="67">
      <c r="A67" s="31" t="inlineStr">
        <is>
          <t>Developer Ergonomics</t>
        </is>
      </c>
      <c r="B67" s="31" t="inlineStr">
        <is>
          <t>Developer Ergonomics</t>
        </is>
      </c>
      <c r="C67" s="32" t="inlineStr">
        <is>
          <t>portal_present</t>
        </is>
      </c>
      <c r="D67" s="33" t="inlineStr">
        <is>
          <t>Developer portal</t>
        </is>
      </c>
      <c r="E67" s="34" t="n">
        <v>4</v>
      </c>
      <c r="F67" s="35">
        <f>IF(AND($U67&lt;&gt;"",REGIME="none"),"N/A",IF(AND($U67&lt;&gt;"",$U67&lt;&gt;"any",ISERROR(SEARCH(REGIME,$U67))),"N/A",IF(VLOOKUP($T67,GATES,2,FALSE)="Yes","Yes","N/A")))</f>
        <v/>
      </c>
      <c r="G67" s="36" t="inlineStr">
        <is>
          <t>No</t>
        </is>
      </c>
      <c r="H67" s="37" t="n"/>
      <c r="I67" s="34" t="inlineStr">
        <is>
          <t>—</t>
        </is>
      </c>
      <c r="J67" s="38">
        <f>IFERROR(VLOOKUP($I67,PROV_CREDIT,2,FALSE),1)</f>
        <v/>
      </c>
      <c r="K67" s="39">
        <f>IF($F67="N/A",0,$E67*IF(ISNUMBER($H67),MEDIAN(0,$H67,1),IF($G67="Yes",1,IF($G67="Partial",0.5,0)))*$J67)</f>
        <v/>
      </c>
      <c r="L67" s="40">
        <f>IF($F67="N/A",0,$E67)</f>
        <v/>
      </c>
      <c r="M67" s="39">
        <f>$L67-$K67</f>
        <v/>
      </c>
      <c r="N67" s="38">
        <f>IF($L67=0,0,ROUND($M67/SUMIF($B$2:$B$107,$B67,$L$2:$L$107)*100*IFERROR(VLOOKUP($B67,Scorecard!$A$6:$C$12,3,FALSE),0),2))</f>
        <v/>
      </c>
      <c r="O67" s="41" t="inlineStr">
        <is>
          <t>common[].type includes "DeveloperPortal" (alias-aware)</t>
        </is>
      </c>
      <c r="P67" s="42" t="inlineStr">
        <is>
          <t>A dedicated developer portal — one front door, rather than API information scattered through a marketing site.</t>
        </is>
      </c>
      <c r="Q67" s="43" t="n"/>
      <c r="R67" s="44" t="n"/>
      <c r="S67" s="43" t="n"/>
      <c r="T67" s="32" t="inlineStr">
        <is>
          <t>always</t>
        </is>
      </c>
      <c r="U67" s="32" t="inlineStr"/>
      <c r="V67" s="35">
        <f>$N67-ROW()/100000</f>
        <v/>
      </c>
    </row>
    <row r="68">
      <c r="A68" s="31" t="inlineStr">
        <is>
          <t>Developer Ergonomics</t>
        </is>
      </c>
      <c r="B68" s="31" t="inlineStr">
        <is>
          <t>Developer Ergonomics</t>
        </is>
      </c>
      <c r="C68" s="32" t="inlineStr">
        <is>
          <t>documentation_present</t>
        </is>
      </c>
      <c r="D68" s="33" t="inlineStr">
        <is>
          <t>Documentation</t>
        </is>
      </c>
      <c r="E68" s="34" t="n">
        <v>4</v>
      </c>
      <c r="F68" s="35">
        <f>IF(AND($U68&lt;&gt;"",REGIME="none"),"N/A",IF(AND($U68&lt;&gt;"",$U68&lt;&gt;"any",ISERROR(SEARCH(REGIME,$U68))),"N/A",IF(VLOOKUP($T68,GATES,2,FALSE)="Yes","Yes","N/A")))</f>
        <v/>
      </c>
      <c r="G68" s="36" t="inlineStr">
        <is>
          <t>No</t>
        </is>
      </c>
      <c r="H68" s="37" t="n"/>
      <c r="I68" s="34" t="inlineStr">
        <is>
          <t>—</t>
        </is>
      </c>
      <c r="J68" s="38">
        <f>IFERROR(VLOOKUP($I68,PROV_CREDIT,2,FALSE),1)</f>
        <v/>
      </c>
      <c r="K68" s="39">
        <f>IF($F68="N/A",0,$E68*IF(ISNUMBER($H68),MEDIAN(0,$H68,1),IF($G68="Yes",1,IF($G68="Partial",0.5,0)))*$J68)</f>
        <v/>
      </c>
      <c r="L68" s="40">
        <f>IF($F68="N/A",0,$E68)</f>
        <v/>
      </c>
      <c r="M68" s="39">
        <f>$L68-$K68</f>
        <v/>
      </c>
      <c r="N68" s="38">
        <f>IF($L68=0,0,ROUND($M68/SUMIF($B$2:$B$107,$B68,$L$2:$L$107)*100*IFERROR(VLOOKUP($B68,Scorecard!$A$6:$C$12,3,FALSE),0),2))</f>
        <v/>
      </c>
      <c r="O68" s="41" t="inlineStr">
        <is>
          <t>common[].type includes "Documentation"</t>
        </is>
      </c>
      <c r="P68" s="42" t="inlineStr">
        <is>
          <t>Narrative documentation explaining how the API works and how to use it.</t>
        </is>
      </c>
      <c r="Q68" s="43" t="n"/>
      <c r="R68" s="44" t="n"/>
      <c r="S68" s="43" t="n"/>
      <c r="T68" s="32" t="inlineStr">
        <is>
          <t>always</t>
        </is>
      </c>
      <c r="U68" s="32" t="inlineStr"/>
      <c r="V68" s="35">
        <f>$N68-ROW()/100000</f>
        <v/>
      </c>
    </row>
    <row r="69">
      <c r="A69" s="31" t="inlineStr">
        <is>
          <t>Developer Ergonomics</t>
        </is>
      </c>
      <c r="B69" s="31" t="inlineStr">
        <is>
          <t>Developer Ergonomics</t>
        </is>
      </c>
      <c r="C69" s="32" t="inlineStr">
        <is>
          <t>api_reference_present</t>
        </is>
      </c>
      <c r="D69" s="33" t="inlineStr">
        <is>
          <t>API reference</t>
        </is>
      </c>
      <c r="E69" s="34" t="n">
        <v>3</v>
      </c>
      <c r="F69" s="35">
        <f>IF(AND($U69&lt;&gt;"",REGIME="none"),"N/A",IF(AND($U69&lt;&gt;"",$U69&lt;&gt;"any",ISERROR(SEARCH(REGIME,$U69))),"N/A",IF(VLOOKUP($T69,GATES,2,FALSE)="Yes","Yes","N/A")))</f>
        <v/>
      </c>
      <c r="G69" s="36" t="inlineStr">
        <is>
          <t>No</t>
        </is>
      </c>
      <c r="H69" s="37" t="n"/>
      <c r="I69" s="34" t="inlineStr">
        <is>
          <t>—</t>
        </is>
      </c>
      <c r="J69" s="38">
        <f>IFERROR(VLOOKUP($I69,PROV_CREDIT,2,FALSE),1)</f>
        <v/>
      </c>
      <c r="K69" s="39">
        <f>IF($F69="N/A",0,$E69*IF(ISNUMBER($H69),MEDIAN(0,$H69,1),IF($G69="Yes",1,IF($G69="Partial",0.5,0)))*$J69)</f>
        <v/>
      </c>
      <c r="L69" s="40">
        <f>IF($F69="N/A",0,$E69)</f>
        <v/>
      </c>
      <c r="M69" s="39">
        <f>$L69-$K69</f>
        <v/>
      </c>
      <c r="N69" s="38">
        <f>IF($L69=0,0,ROUND($M69/SUMIF($B$2:$B$107,$B69,$L$2:$L$107)*100*IFERROR(VLOOKUP($B69,Scorecard!$A$6:$C$12,3,FALSE),0),2))</f>
        <v/>
      </c>
      <c r="O69" s="41" t="inlineStr">
        <is>
          <t>common[].type includes "APIReference" (alias-aware)</t>
        </is>
      </c>
      <c r="P69" s="42" t="inlineStr">
        <is>
          <t>A complete endpoint-level reference — distinct from narrative docs, and what a developer returns to after their first call.</t>
        </is>
      </c>
      <c r="Q69" s="43" t="n"/>
      <c r="R69" s="44" t="n"/>
      <c r="S69" s="43" t="n"/>
      <c r="T69" s="32" t="inlineStr">
        <is>
          <t>always</t>
        </is>
      </c>
      <c r="U69" s="32" t="inlineStr"/>
      <c r="V69" s="35">
        <f>$N69-ROW()/100000</f>
        <v/>
      </c>
    </row>
    <row r="70">
      <c r="A70" s="31" t="inlineStr">
        <is>
          <t>Developer Ergonomics</t>
        </is>
      </c>
      <c r="B70" s="31" t="inlineStr">
        <is>
          <t>Developer Ergonomics</t>
        </is>
      </c>
      <c r="C70" s="32" t="inlineStr">
        <is>
          <t>getting_started_present</t>
        </is>
      </c>
      <c r="D70" s="33" t="inlineStr">
        <is>
          <t>Getting started guide</t>
        </is>
      </c>
      <c r="E70" s="34" t="n">
        <v>5</v>
      </c>
      <c r="F70" s="35">
        <f>IF(AND($U70&lt;&gt;"",REGIME="none"),"N/A",IF(AND($U70&lt;&gt;"",$U70&lt;&gt;"any",ISERROR(SEARCH(REGIME,$U70))),"N/A",IF(VLOOKUP($T70,GATES,2,FALSE)="Yes","Yes","N/A")))</f>
        <v/>
      </c>
      <c r="G70" s="36" t="inlineStr">
        <is>
          <t>No</t>
        </is>
      </c>
      <c r="H70" s="37" t="n"/>
      <c r="I70" s="34" t="inlineStr">
        <is>
          <t>—</t>
        </is>
      </c>
      <c r="J70" s="38">
        <f>IFERROR(VLOOKUP($I70,PROV_CREDIT,2,FALSE),1)</f>
        <v/>
      </c>
      <c r="K70" s="39">
        <f>IF($F70="N/A",0,$E70*IF(ISNUMBER($H70),MEDIAN(0,$H70,1),IF($G70="Yes",1,IF($G70="Partial",0.5,0)))*$J70)</f>
        <v/>
      </c>
      <c r="L70" s="40">
        <f>IF($F70="N/A",0,$E70)</f>
        <v/>
      </c>
      <c r="M70" s="39">
        <f>$L70-$K70</f>
        <v/>
      </c>
      <c r="N70" s="38">
        <f>IF($L70=0,0,ROUND($M70/SUMIF($B$2:$B$107,$B70,$L$2:$L$107)*100*IFERROR(VLOOKUP($B70,Scorecard!$A$6:$C$12,3,FALSE),0),2))</f>
        <v/>
      </c>
      <c r="O70" s="41" t="inlineStr">
        <is>
          <t>common[].type includes "GettingStarted" or "Quickstart"</t>
        </is>
      </c>
      <c r="P70" s="42" t="inlineStr">
        <is>
          <t>An explicit quickstart. The artifact most correlated with a developer reaching a first successful call, which is why it outscores the reference itself.</t>
        </is>
      </c>
      <c r="Q70" s="43" t="n"/>
      <c r="R70" s="44" t="n"/>
      <c r="S70" s="43" t="n"/>
      <c r="T70" s="32" t="inlineStr">
        <is>
          <t>always</t>
        </is>
      </c>
      <c r="U70" s="32" t="inlineStr"/>
      <c r="V70" s="35">
        <f>$N70-ROW()/100000</f>
        <v/>
      </c>
    </row>
    <row r="71">
      <c r="A71" s="31" t="inlineStr">
        <is>
          <t>Developer Ergonomics</t>
        </is>
      </c>
      <c r="B71" s="31" t="inlineStr">
        <is>
          <t>Developer Ergonomics</t>
        </is>
      </c>
      <c r="C71" s="32" t="inlineStr">
        <is>
          <t>authentication_documented</t>
        </is>
      </c>
      <c r="D71" s="33" t="inlineStr">
        <is>
          <t>Authentication documented</t>
        </is>
      </c>
      <c r="E71" s="34" t="n">
        <v>5</v>
      </c>
      <c r="F71" s="35">
        <f>IF(AND($U71&lt;&gt;"",REGIME="none"),"N/A",IF(AND($U71&lt;&gt;"",$U71&lt;&gt;"any",ISERROR(SEARCH(REGIME,$U71))),"N/A",IF(VLOOKUP($T71,GATES,2,FALSE)="Yes","Yes","N/A")))</f>
        <v/>
      </c>
      <c r="G71" s="36" t="inlineStr">
        <is>
          <t>No</t>
        </is>
      </c>
      <c r="H71" s="37" t="n"/>
      <c r="I71" s="34" t="inlineStr">
        <is>
          <t>—</t>
        </is>
      </c>
      <c r="J71" s="38">
        <f>IFERROR(VLOOKUP($I71,PROV_CREDIT,2,FALSE),1)</f>
        <v/>
      </c>
      <c r="K71" s="39">
        <f>IF($F71="N/A",0,$E71*IF(ISNUMBER($H71),MEDIAN(0,$H71,1),IF($G71="Yes",1,IF($G71="Partial",0.5,0)))*$J71)</f>
        <v/>
      </c>
      <c r="L71" s="40">
        <f>IF($F71="N/A",0,$E71)</f>
        <v/>
      </c>
      <c r="M71" s="39">
        <f>$L71-$K71</f>
        <v/>
      </c>
      <c r="N71" s="38">
        <f>IF($L71=0,0,ROUND($M71/SUMIF($B$2:$B$107,$B71,$L$2:$L$107)*100*IFERROR(VLOOKUP($B71,Scorecard!$A$6:$C$12,3,FALSE),0),2))</f>
        <v/>
      </c>
      <c r="O71" s="41" t="inlineStr">
        <is>
          <t>common[].type includes "Authentication"</t>
        </is>
      </c>
      <c r="P71" s="42" t="inlineStr">
        <is>
          <t>Authentication is documented as its own topic. Auth is where most integrations stall, and burying it inside a general guide is where most developers give up.</t>
        </is>
      </c>
      <c r="Q71" s="43" t="n"/>
      <c r="R71" s="44" t="n"/>
      <c r="S71" s="43" t="n"/>
      <c r="T71" s="32" t="inlineStr">
        <is>
          <t>always</t>
        </is>
      </c>
      <c r="U71" s="32" t="inlineStr"/>
      <c r="V71" s="35">
        <f>$N71-ROW()/100000</f>
        <v/>
      </c>
    </row>
    <row r="72">
      <c r="A72" s="31" t="inlineStr">
        <is>
          <t>Developer Ergonomics</t>
        </is>
      </c>
      <c r="B72" s="31" t="inlineStr">
        <is>
          <t>Developer Ergonomics</t>
        </is>
      </c>
      <c r="C72" s="32" t="inlineStr">
        <is>
          <t>sdk_count_1</t>
        </is>
      </c>
      <c r="D72" s="33" t="inlineStr">
        <is>
          <t>At least one SDK</t>
        </is>
      </c>
      <c r="E72" s="34" t="n">
        <v>3</v>
      </c>
      <c r="F72" s="35">
        <f>IF(AND($U72&lt;&gt;"",REGIME="none"),"N/A",IF(AND($U72&lt;&gt;"",$U72&lt;&gt;"any",ISERROR(SEARCH(REGIME,$U72))),"N/A",IF(VLOOKUP($T72,GATES,2,FALSE)="Yes","Yes","N/A")))</f>
        <v/>
      </c>
      <c r="G72" s="36" t="inlineStr">
        <is>
          <t>No</t>
        </is>
      </c>
      <c r="H72" s="37" t="n"/>
      <c r="I72" s="34" t="inlineStr">
        <is>
          <t>—</t>
        </is>
      </c>
      <c r="J72" s="38">
        <f>IFERROR(VLOOKUP($I72,PROV_CREDIT,2,FALSE),1)</f>
        <v/>
      </c>
      <c r="K72" s="39">
        <f>IF($F72="N/A",0,$E72*IF(ISNUMBER($H72),MEDIAN(0,$H72,1),IF($G72="Yes",1,IF($G72="Partial",0.5,0)))*$J72)</f>
        <v/>
      </c>
      <c r="L72" s="40">
        <f>IF($F72="N/A",0,$E72)</f>
        <v/>
      </c>
      <c r="M72" s="39">
        <f>$L72-$K72</f>
        <v/>
      </c>
      <c r="N72" s="38">
        <f>IF($L72=0,0,ROUND($M72/SUMIF($B$2:$B$107,$B72,$L$2:$L$107)*100*IFERROR(VLOOKUP($B72,Scorecard!$A$6:$C$12,3,FALSE),0),2))</f>
        <v/>
      </c>
      <c r="O72" s="41" t="inlineStr">
        <is>
          <t>count(common[].type == "SDK" alias-aware) &gt;= 1</t>
        </is>
      </c>
      <c r="P72" s="42" t="inlineStr">
        <is>
          <t>At least one client library, so a consumer is not writing HTTP plumbing before writing anything of their own.</t>
        </is>
      </c>
      <c r="Q72" s="43" t="n"/>
      <c r="R72" s="44" t="n"/>
      <c r="S72" s="43" t="n"/>
      <c r="T72" s="32" t="inlineStr">
        <is>
          <t>always</t>
        </is>
      </c>
      <c r="U72" s="32" t="inlineStr"/>
      <c r="V72" s="35">
        <f>$N72-ROW()/100000</f>
        <v/>
      </c>
    </row>
    <row r="73">
      <c r="A73" s="31" t="inlineStr">
        <is>
          <t>Developer Ergonomics</t>
        </is>
      </c>
      <c r="B73" s="31" t="inlineStr">
        <is>
          <t>Developer Ergonomics</t>
        </is>
      </c>
      <c r="C73" s="32" t="inlineStr">
        <is>
          <t>sdk_count_3</t>
        </is>
      </c>
      <c r="D73" s="33" t="inlineStr">
        <is>
          <t>Three or more SDKs</t>
        </is>
      </c>
      <c r="E73" s="34" t="n">
        <v>4</v>
      </c>
      <c r="F73" s="35">
        <f>IF(AND($U73&lt;&gt;"",REGIME="none"),"N/A",IF(AND($U73&lt;&gt;"",$U73&lt;&gt;"any",ISERROR(SEARCH(REGIME,$U73))),"N/A",IF(VLOOKUP($T73,GATES,2,FALSE)="Yes","Yes","N/A")))</f>
        <v/>
      </c>
      <c r="G73" s="36" t="inlineStr">
        <is>
          <t>No</t>
        </is>
      </c>
      <c r="H73" s="37" t="n"/>
      <c r="I73" s="34" t="inlineStr">
        <is>
          <t>—</t>
        </is>
      </c>
      <c r="J73" s="38">
        <f>IFERROR(VLOOKUP($I73,PROV_CREDIT,2,FALSE),1)</f>
        <v/>
      </c>
      <c r="K73" s="39">
        <f>IF($F73="N/A",0,$E73*IF(ISNUMBER($H73),MEDIAN(0,$H73,1),IF($G73="Yes",1,IF($G73="Partial",0.5,0)))*$J73)</f>
        <v/>
      </c>
      <c r="L73" s="40">
        <f>IF($F73="N/A",0,$E73)</f>
        <v/>
      </c>
      <c r="M73" s="39">
        <f>$L73-$K73</f>
        <v/>
      </c>
      <c r="N73" s="38">
        <f>IF($L73=0,0,ROUND($M73/SUMIF($B$2:$B$107,$B73,$L$2:$L$107)*100*IFERROR(VLOOKUP($B73,Scorecard!$A$6:$C$12,3,FALSE),0),2))</f>
        <v/>
      </c>
      <c r="O73" s="41" t="inlineStr">
        <is>
          <t>count(common[].type == "SDK" alias-aware) &gt;= 3</t>
        </is>
      </c>
      <c r="P73" s="42" t="inlineStr">
        <is>
          <t>Three or more languages covered — evidence of investment in a real developer audience rather than one favored stack. Awarded on top of the first SDK.</t>
        </is>
      </c>
      <c r="Q73" s="43" t="n"/>
      <c r="R73" s="44" t="n"/>
      <c r="S73" s="43" t="n"/>
      <c r="T73" s="32" t="inlineStr">
        <is>
          <t>always</t>
        </is>
      </c>
      <c r="U73" s="32" t="inlineStr"/>
      <c r="V73" s="35">
        <f>$N73-ROW()/100000</f>
        <v/>
      </c>
    </row>
    <row r="74">
      <c r="A74" s="31" t="inlineStr">
        <is>
          <t>Developer Ergonomics</t>
        </is>
      </c>
      <c r="B74" s="31" t="inlineStr">
        <is>
          <t>Developer Ergonomics</t>
        </is>
      </c>
      <c r="C74" s="32" t="inlineStr">
        <is>
          <t>cli_present</t>
        </is>
      </c>
      <c r="D74" s="33" t="inlineStr">
        <is>
          <t>Command-line interface</t>
        </is>
      </c>
      <c r="E74" s="34" t="n">
        <v>3</v>
      </c>
      <c r="F74" s="35">
        <f>IF(AND($U74&lt;&gt;"",REGIME="none"),"N/A",IF(AND($U74&lt;&gt;"",$U74&lt;&gt;"any",ISERROR(SEARCH(REGIME,$U74))),"N/A",IF(VLOOKUP($T74,GATES,2,FALSE)="Yes","Yes","N/A")))</f>
        <v/>
      </c>
      <c r="G74" s="36" t="inlineStr">
        <is>
          <t>No</t>
        </is>
      </c>
      <c r="H74" s="37" t="n"/>
      <c r="I74" s="34" t="inlineStr">
        <is>
          <t>—</t>
        </is>
      </c>
      <c r="J74" s="38">
        <f>IFERROR(VLOOKUP($I74,PROV_CREDIT,2,FALSE),1)</f>
        <v/>
      </c>
      <c r="K74" s="39">
        <f>IF($F74="N/A",0,$E74*IF(ISNUMBER($H74),MEDIAN(0,$H74,1),IF($G74="Yes",1,IF($G74="Partial",0.5,0)))*$J74)</f>
        <v/>
      </c>
      <c r="L74" s="40">
        <f>IF($F74="N/A",0,$E74)</f>
        <v/>
      </c>
      <c r="M74" s="39">
        <f>$L74-$K74</f>
        <v/>
      </c>
      <c r="N74" s="38">
        <f>IF($L74=0,0,ROUND($M74/SUMIF($B$2:$B$107,$B74,$L$2:$L$107)*100*IFERROR(VLOOKUP($B74,Scorecard!$A$6:$C$12,3,FALSE),0),2))</f>
        <v/>
      </c>
      <c r="O74" s="41" t="inlineStr">
        <is>
          <t>common[].type includes "CLI"</t>
        </is>
      </c>
      <c r="P74" s="42" t="inlineStr">
        <is>
          <t>A CLI, which is how the API gets used in scripts, CI, and exploration.</t>
        </is>
      </c>
      <c r="Q74" s="43" t="n"/>
      <c r="R74" s="44" t="n"/>
      <c r="S74" s="43" t="n"/>
      <c r="T74" s="32" t="inlineStr">
        <is>
          <t>always</t>
        </is>
      </c>
      <c r="U74" s="32" t="inlineStr"/>
      <c r="V74" s="35">
        <f>$N74-ROW()/100000</f>
        <v/>
      </c>
    </row>
    <row r="75">
      <c r="A75" s="31" t="inlineStr">
        <is>
          <t>Developer Ergonomics</t>
        </is>
      </c>
      <c r="B75" s="31" t="inlineStr">
        <is>
          <t>Developer Ergonomics</t>
        </is>
      </c>
      <c r="C75" s="32" t="inlineStr">
        <is>
          <t>console_or_sandbox</t>
        </is>
      </c>
      <c r="D75" s="33" t="inlineStr">
        <is>
          <t>Console or sandbox</t>
        </is>
      </c>
      <c r="E75" s="34" t="n">
        <v>3</v>
      </c>
      <c r="F75" s="35">
        <f>IF(AND($U75&lt;&gt;"",REGIME="none"),"N/A",IF(AND($U75&lt;&gt;"",$U75&lt;&gt;"any",ISERROR(SEARCH(REGIME,$U75))),"N/A",IF(VLOOKUP($T75,GATES,2,FALSE)="Yes","Yes","N/A")))</f>
        <v/>
      </c>
      <c r="G75" s="36" t="inlineStr">
        <is>
          <t>No</t>
        </is>
      </c>
      <c r="H75" s="37" t="n"/>
      <c r="I75" s="34" t="inlineStr">
        <is>
          <t>—</t>
        </is>
      </c>
      <c r="J75" s="38">
        <f>IFERROR(VLOOKUP($I75,PROV_CREDIT,2,FALSE),1)</f>
        <v/>
      </c>
      <c r="K75" s="39">
        <f>IF($F75="N/A",0,$E75*IF(ISNUMBER($H75),MEDIAN(0,$H75,1),IF($G75="Yes",1,IF($G75="Partial",0.5,0)))*$J75)</f>
        <v/>
      </c>
      <c r="L75" s="40">
        <f>IF($F75="N/A",0,$E75)</f>
        <v/>
      </c>
      <c r="M75" s="39">
        <f>$L75-$K75</f>
        <v/>
      </c>
      <c r="N75" s="38">
        <f>IF($L75=0,0,ROUND($M75/SUMIF($B$2:$B$107,$B75,$L$2:$L$107)*100*IFERROR(VLOOKUP($B75,Scorecard!$A$6:$C$12,3,FALSE),0),2))</f>
        <v/>
      </c>
      <c r="O75" s="41" t="inlineStr">
        <is>
          <t>common[].type includes "Console" or "Sandbox" or "Playground"</t>
        </is>
      </c>
      <c r="P75" s="42" t="inlineStr">
        <is>
          <t>Somewhere to try the API without wiring up credentials and a project first.</t>
        </is>
      </c>
      <c r="Q75" s="43" t="n"/>
      <c r="R75" s="44" t="n"/>
      <c r="S75" s="43" t="n"/>
      <c r="T75" s="32" t="inlineStr">
        <is>
          <t>always</t>
        </is>
      </c>
      <c r="U75" s="32" t="inlineStr"/>
      <c r="V75" s="35">
        <f>$N75-ROW()/100000</f>
        <v/>
      </c>
    </row>
    <row r="76">
      <c r="A76" s="31" t="inlineStr">
        <is>
          <t>Developer Ergonomics</t>
        </is>
      </c>
      <c r="B76" s="31" t="inlineStr">
        <is>
          <t>Developer Ergonomics</t>
        </is>
      </c>
      <c r="C76" s="32" t="inlineStr">
        <is>
          <t>postman_present</t>
        </is>
      </c>
      <c r="D76" s="33" t="inlineStr">
        <is>
          <t>Postman collection</t>
        </is>
      </c>
      <c r="E76" s="34" t="n">
        <v>2</v>
      </c>
      <c r="F76" s="35">
        <f>IF(AND($U76&lt;&gt;"",REGIME="none"),"N/A",IF(AND($U76&lt;&gt;"",$U76&lt;&gt;"any",ISERROR(SEARCH(REGIME,$U76))),"N/A",IF(VLOOKUP($T76,GATES,2,FALSE)="Yes","Yes","N/A")))</f>
        <v/>
      </c>
      <c r="G76" s="36" t="inlineStr">
        <is>
          <t>No</t>
        </is>
      </c>
      <c r="H76" s="37" t="n"/>
      <c r="I76" s="34" t="inlineStr">
        <is>
          <t>—</t>
        </is>
      </c>
      <c r="J76" s="38">
        <f>IFERROR(VLOOKUP($I76,PROV_CREDIT,2,FALSE),1)</f>
        <v/>
      </c>
      <c r="K76" s="39">
        <f>IF($F76="N/A",0,$E76*IF(ISNUMBER($H76),MEDIAN(0,$H76,1),IF($G76="Yes",1,IF($G76="Partial",0.5,0)))*$J76)</f>
        <v/>
      </c>
      <c r="L76" s="40">
        <f>IF($F76="N/A",0,$E76)</f>
        <v/>
      </c>
      <c r="M76" s="39">
        <f>$L76-$K76</f>
        <v/>
      </c>
      <c r="N76" s="38">
        <f>IF($L76=0,0,ROUND($M76/SUMIF($B$2:$B$107,$B76,$L$2:$L$107)*100*IFERROR(VLOOKUP($B76,Scorecard!$A$6:$C$12,3,FALSE),0),2))</f>
        <v/>
      </c>
      <c r="O76" s="41" t="inlineStr">
        <is>
          <t>common[].type includes "Postman" (alias-aware)</t>
        </is>
      </c>
      <c r="P76" s="42" t="inlineStr">
        <is>
          <t>A runnable collection — the fastest path from reading about the API to calling it.</t>
        </is>
      </c>
      <c r="Q76" s="43" t="n"/>
      <c r="R76" s="44" t="n"/>
      <c r="S76" s="43" t="n"/>
      <c r="T76" s="32" t="inlineStr">
        <is>
          <t>always</t>
        </is>
      </c>
      <c r="U76" s="32" t="inlineStr"/>
      <c r="V76" s="35">
        <f>$N76-ROW()/100000</f>
        <v/>
      </c>
    </row>
    <row r="77">
      <c r="A77" s="31" t="inlineStr">
        <is>
          <t>Developer Ergonomics</t>
        </is>
      </c>
      <c r="B77" s="31" t="inlineStr">
        <is>
          <t>Developer Ergonomics</t>
        </is>
      </c>
      <c r="C77" s="32" t="inlineStr">
        <is>
          <t>mcp_server_present</t>
        </is>
      </c>
      <c r="D77" s="33" t="inlineStr">
        <is>
          <t>MCP server</t>
        </is>
      </c>
      <c r="E77" s="34" t="n">
        <v>4</v>
      </c>
      <c r="F77" s="35">
        <f>IF(AND($U77&lt;&gt;"",REGIME="none"),"N/A",IF(AND($U77&lt;&gt;"",$U77&lt;&gt;"any",ISERROR(SEARCH(REGIME,$U77))),"N/A",IF(VLOOKUP($T77,GATES,2,FALSE)="Yes","Yes","N/A")))</f>
        <v/>
      </c>
      <c r="G77" s="36" t="inlineStr">
        <is>
          <t>No</t>
        </is>
      </c>
      <c r="H77" s="37" t="n"/>
      <c r="I77" s="36" t="inlineStr">
        <is>
          <t>first-party</t>
        </is>
      </c>
      <c r="J77" s="38">
        <f>IFERROR(VLOOKUP($I77,PROV_CREDIT,2,FALSE),1)</f>
        <v/>
      </c>
      <c r="K77" s="39">
        <f>IF($F77="N/A",0,$E77*IF(ISNUMBER($H77),MEDIAN(0,$H77,1),IF($G77="Yes",1,IF($G77="Partial",0.5,0)))*$J77)</f>
        <v/>
      </c>
      <c r="L77" s="40">
        <f>IF($F77="N/A",0,$E77)</f>
        <v/>
      </c>
      <c r="M77" s="39">
        <f>$L77-$K77</f>
        <v/>
      </c>
      <c r="N77" s="38">
        <f>IF($L77=0,0,ROUND($M77/SUMIF($B$2:$B$107,$B77,$L$2:$L$107)*100*IFERROR(VLOOKUP($B77,Scorecard!$A$6:$C$12,3,FALSE),0),2))</f>
        <v/>
      </c>
      <c r="O77" s="41" t="inlineStr">
        <is>
          <t>common[].type includes "MCPServer", graded by whether the provider runs it</t>
        </is>
      </c>
      <c r="P77" s="42" t="inlineStr">
        <is>
          <t>A Model Context Protocol server, making the API directly callable by agents. Weighted alongside the strongest human on-ramps because it increasingly is one. PROVENANCE-GRADED IN 0.6, and this is where the defect was worst. 1,882 of the 3,046 MCP artifacts in the catalog are API-Evangelist-derived CANDIDATES with `status: candidate` and `url: null` — 1,679 of them listed as an MCPServer in the provider's index, earning full credit for a server that does not exist. 8x8's own artifact states that its 312-tool catalog "is a proposal, not an 8x8 product." A derived candidate keeps a floor because it is a real, groundable artifact one adapter away from working; it can no longer outrank a running server.</t>
        </is>
      </c>
      <c r="Q77" s="43" t="n"/>
      <c r="R77" s="44" t="n"/>
      <c r="S77" s="43" t="n"/>
      <c r="T77" s="32" t="inlineStr">
        <is>
          <t>always</t>
        </is>
      </c>
      <c r="U77" s="32" t="inlineStr"/>
      <c r="V77" s="35">
        <f>$N77-ROW()/100000</f>
        <v/>
      </c>
    </row>
    <row r="78">
      <c r="A78" s="31" t="inlineStr">
        <is>
          <t>Developer Ergonomics</t>
        </is>
      </c>
      <c r="B78" s="31" t="inlineStr">
        <is>
          <t>Developer Ergonomics</t>
        </is>
      </c>
      <c r="C78" s="32" t="inlineStr">
        <is>
          <t>agent_skill_present</t>
        </is>
      </c>
      <c r="D78" s="33" t="inlineStr">
        <is>
          <t>Agent Skill</t>
        </is>
      </c>
      <c r="E78" s="34" t="n">
        <v>3</v>
      </c>
      <c r="F78" s="35">
        <f>IF(AND($U78&lt;&gt;"",REGIME="none"),"N/A",IF(AND($U78&lt;&gt;"",$U78&lt;&gt;"any",ISERROR(SEARCH(REGIME,$U78))),"N/A",IF(VLOOKUP($T78,GATES,2,FALSE)="Yes","Yes","N/A")))</f>
        <v/>
      </c>
      <c r="G78" s="36" t="inlineStr">
        <is>
          <t>No</t>
        </is>
      </c>
      <c r="H78" s="37" t="n"/>
      <c r="I78" s="36" t="inlineStr">
        <is>
          <t>first-party</t>
        </is>
      </c>
      <c r="J78" s="38">
        <f>IFERROR(VLOOKUP($I78,PROV_CREDIT,2,FALSE),1)</f>
        <v/>
      </c>
      <c r="K78" s="39">
        <f>IF($F78="N/A",0,$E78*IF(ISNUMBER($H78),MEDIAN(0,$H78,1),IF($G78="Yes",1,IF($G78="Partial",0.5,0)))*$J78)</f>
        <v/>
      </c>
      <c r="L78" s="40">
        <f>IF($F78="N/A",0,$E78)</f>
        <v/>
      </c>
      <c r="M78" s="39">
        <f>$L78-$K78</f>
        <v/>
      </c>
      <c r="N78" s="38">
        <f>IF($L78=0,0,ROUND($M78/SUMIF($B$2:$B$107,$B78,$L$2:$L$107)*100*IFERROR(VLOOKUP($B78,Scorecard!$A$6:$C$12,3,FALSE),0),2))</f>
        <v/>
      </c>
      <c r="O78" s="41" t="inlineStr">
        <is>
          <t>common[].type includes "AgentSkill", graded by who authored it</t>
        </is>
      </c>
      <c r="P78" s="42" t="inlineStr">
        <is>
          <t>A published Agent Skill — packaged instructions for an agent to use the API correctly, rather than leaving it to infer usage from the spec. PROVENANCE-GRADED IN 0.6: 2,018 of 2,274 skill sets in the catalog were generated by API Evangelist from the provider's own specs. Provider-published agent skills exist, but they are rare — across the whole telecom sector, three.</t>
        </is>
      </c>
      <c r="Q78" s="43" t="n"/>
      <c r="R78" s="44" t="n"/>
      <c r="S78" s="43" t="n"/>
      <c r="T78" s="32" t="inlineStr">
        <is>
          <t>always</t>
        </is>
      </c>
      <c r="U78" s="32" t="inlineStr"/>
      <c r="V78" s="35">
        <f>$N78-ROW()/100000</f>
        <v/>
      </c>
    </row>
    <row r="79">
      <c r="A79" s="31" t="inlineStr">
        <is>
          <t>Developer Ergonomics</t>
        </is>
      </c>
      <c r="B79" s="31" t="inlineStr">
        <is>
          <t>Developer Ergonomics</t>
        </is>
      </c>
      <c r="C79" s="32" t="inlineStr">
        <is>
          <t>support_channel</t>
        </is>
      </c>
      <c r="D79" s="33" t="inlineStr">
        <is>
          <t>Support channel</t>
        </is>
      </c>
      <c r="E79" s="34" t="n">
        <v>2</v>
      </c>
      <c r="F79" s="35">
        <f>IF(AND($U79&lt;&gt;"",REGIME="none"),"N/A",IF(AND($U79&lt;&gt;"",$U79&lt;&gt;"any",ISERROR(SEARCH(REGIME,$U79))),"N/A",IF(VLOOKUP($T79,GATES,2,FALSE)="Yes","Yes","N/A")))</f>
        <v/>
      </c>
      <c r="G79" s="36" t="inlineStr">
        <is>
          <t>No</t>
        </is>
      </c>
      <c r="H79" s="37" t="n"/>
      <c r="I79" s="34" t="inlineStr">
        <is>
          <t>—</t>
        </is>
      </c>
      <c r="J79" s="38">
        <f>IFERROR(VLOOKUP($I79,PROV_CREDIT,2,FALSE),1)</f>
        <v/>
      </c>
      <c r="K79" s="39">
        <f>IF($F79="N/A",0,$E79*IF(ISNUMBER($H79),MEDIAN(0,$H79,1),IF($G79="Yes",1,IF($G79="Partial",0.5,0)))*$J79)</f>
        <v/>
      </c>
      <c r="L79" s="40">
        <f>IF($F79="N/A",0,$E79)</f>
        <v/>
      </c>
      <c r="M79" s="39">
        <f>$L79-$K79</f>
        <v/>
      </c>
      <c r="N79" s="38">
        <f>IF($L79=0,0,ROUND($M79/SUMIF($B$2:$B$107,$B79,$L$2:$L$107)*100*IFERROR(VLOOKUP($B79,Scorecard!$A$6:$C$12,3,FALSE),0),2))</f>
        <v/>
      </c>
      <c r="O79" s="41" t="inlineStr">
        <is>
          <t>common[].type includes "Support" or "HelpCenter" or "Community"</t>
        </is>
      </c>
      <c r="P79" s="42" t="inlineStr">
        <is>
          <t>A route to a human or a community when the documentation runs out.</t>
        </is>
      </c>
      <c r="Q79" s="43" t="n"/>
      <c r="R79" s="44" t="n"/>
      <c r="S79" s="43" t="n"/>
      <c r="T79" s="32" t="inlineStr">
        <is>
          <t>always</t>
        </is>
      </c>
      <c r="U79" s="32" t="inlineStr"/>
      <c r="V79" s="35">
        <f>$N79-ROW()/100000</f>
        <v/>
      </c>
    </row>
    <row r="80">
      <c r="A80" s="31" t="inlineStr">
        <is>
          <t>Developer Ergonomics</t>
        </is>
      </c>
      <c r="B80" s="31" t="inlineStr">
        <is>
          <t>Developer Ergonomics</t>
        </is>
      </c>
      <c r="C80" s="32" t="inlineStr">
        <is>
          <t>blog_present</t>
        </is>
      </c>
      <c r="D80" s="33" t="inlineStr">
        <is>
          <t>Blog</t>
        </is>
      </c>
      <c r="E80" s="34" t="n">
        <v>1</v>
      </c>
      <c r="F80" s="35">
        <f>IF(AND($U80&lt;&gt;"",REGIME="none"),"N/A",IF(AND($U80&lt;&gt;"",$U80&lt;&gt;"any",ISERROR(SEARCH(REGIME,$U80))),"N/A",IF(VLOOKUP($T80,GATES,2,FALSE)="Yes","Yes","N/A")))</f>
        <v/>
      </c>
      <c r="G80" s="36" t="inlineStr">
        <is>
          <t>No</t>
        </is>
      </c>
      <c r="H80" s="37" t="n"/>
      <c r="I80" s="34" t="inlineStr">
        <is>
          <t>—</t>
        </is>
      </c>
      <c r="J80" s="38">
        <f>IFERROR(VLOOKUP($I80,PROV_CREDIT,2,FALSE),1)</f>
        <v/>
      </c>
      <c r="K80" s="39">
        <f>IF($F80="N/A",0,$E80*IF(ISNUMBER($H80),MEDIAN(0,$H80,1),IF($G80="Yes",1,IF($G80="Partial",0.5,0)))*$J80)</f>
        <v/>
      </c>
      <c r="L80" s="40">
        <f>IF($F80="N/A",0,$E80)</f>
        <v/>
      </c>
      <c r="M80" s="39">
        <f>$L80-$K80</f>
        <v/>
      </c>
      <c r="N80" s="38">
        <f>IF($L80=0,0,ROUND($M80/SUMIF($B$2:$B$107,$B80,$L$2:$L$107)*100*IFERROR(VLOOKUP($B80,Scorecard!$A$6:$C$12,3,FALSE),0),2))</f>
        <v/>
      </c>
      <c r="O80" s="41" t="inlineStr">
        <is>
          <t>common[].type includes "Blog"</t>
        </is>
      </c>
      <c r="P80" s="42" t="inlineStr">
        <is>
          <t>A blog. The lightest signal in the rubric, but a live one — it shows the API is still being talked about by the people who build it.</t>
        </is>
      </c>
      <c r="Q80" s="43" t="n"/>
      <c r="R80" s="44" t="n"/>
      <c r="S80" s="43" t="n"/>
      <c r="T80" s="32" t="inlineStr">
        <is>
          <t>always</t>
        </is>
      </c>
      <c r="U80" s="32" t="inlineStr"/>
      <c r="V80" s="35">
        <f>$N80-ROW()/100000</f>
        <v/>
      </c>
    </row>
    <row r="81">
      <c r="A81" s="31" t="inlineStr">
        <is>
          <t>Commercial Clarity</t>
        </is>
      </c>
      <c r="B81" s="31" t="inlineStr">
        <is>
          <t>Commercial Clarity</t>
        </is>
      </c>
      <c r="C81" s="32" t="inlineStr">
        <is>
          <t>plans_present</t>
        </is>
      </c>
      <c r="D81" s="33" t="inlineStr">
        <is>
          <t>Plans published</t>
        </is>
      </c>
      <c r="E81" s="34" t="n">
        <v>8</v>
      </c>
      <c r="F81" s="35">
        <f>IF(AND($U81&lt;&gt;"",REGIME="none"),"N/A",IF(AND($U81&lt;&gt;"",$U81&lt;&gt;"any",ISERROR(SEARCH(REGIME,$U81))),"N/A",IF(VLOOKUP($T81,GATES,2,FALSE)="Yes","Yes","N/A")))</f>
        <v/>
      </c>
      <c r="G81" s="36" t="inlineStr">
        <is>
          <t>No</t>
        </is>
      </c>
      <c r="H81" s="37" t="n"/>
      <c r="I81" s="34" t="inlineStr">
        <is>
          <t>—</t>
        </is>
      </c>
      <c r="J81" s="38">
        <f>IFERROR(VLOOKUP($I81,PROV_CREDIT,2,FALSE),1)</f>
        <v/>
      </c>
      <c r="K81" s="39">
        <f>IF($F81="N/A",0,$E81*IF(ISNUMBER($H81),MEDIAN(0,$H81,1),IF($G81="Yes",1,IF($G81="Partial",0.5,0)))*$J81)</f>
        <v/>
      </c>
      <c r="L81" s="40">
        <f>IF($F81="N/A",0,$E81)</f>
        <v/>
      </c>
      <c r="M81" s="39">
        <f>$L81-$K81</f>
        <v/>
      </c>
      <c r="N81" s="38">
        <f>IF($L81=0,0,ROUND($M81/SUMIF($B$2:$B$107,$B81,$L$2:$L$107)*100*IFERROR(VLOOKUP($B81,Scorecard!$A$6:$C$12,3,FALSE),0),2))</f>
        <v/>
      </c>
      <c r="O81" s="41" t="inlineStr">
        <is>
          <t>plans[0].plan_count &gt;= 1</t>
        </is>
      </c>
      <c r="P81" s="42" t="inlineStr">
        <is>
          <t>Access plans exist as structured, machine-readable data rather than a pricing page a human has to interpret. The heaviest award in this facet.</t>
        </is>
      </c>
      <c r="Q81" s="43" t="n"/>
      <c r="R81" s="44" t="n"/>
      <c r="S81" s="43" t="n"/>
      <c r="T81" s="32" t="inlineStr">
        <is>
          <t>always</t>
        </is>
      </c>
      <c r="U81" s="32" t="inlineStr"/>
      <c r="V81" s="35">
        <f>$N81-ROW()/100000</f>
        <v/>
      </c>
    </row>
    <row r="82">
      <c r="A82" s="31" t="inlineStr">
        <is>
          <t>Commercial Clarity</t>
        </is>
      </c>
      <c r="B82" s="31" t="inlineStr">
        <is>
          <t>Commercial Clarity</t>
        </is>
      </c>
      <c r="C82" s="32" t="inlineStr">
        <is>
          <t>plans_multiple</t>
        </is>
      </c>
      <c r="D82" s="33" t="inlineStr">
        <is>
          <t>Multiple plans</t>
        </is>
      </c>
      <c r="E82" s="34" t="n">
        <v>4</v>
      </c>
      <c r="F82" s="35">
        <f>IF(AND($U82&lt;&gt;"",REGIME="none"),"N/A",IF(AND($U82&lt;&gt;"",$U82&lt;&gt;"any",ISERROR(SEARCH(REGIME,$U82))),"N/A",IF(VLOOKUP($T82,GATES,2,FALSE)="Yes","Yes","N/A")))</f>
        <v/>
      </c>
      <c r="G82" s="36" t="inlineStr">
        <is>
          <t>No</t>
        </is>
      </c>
      <c r="H82" s="37" t="n"/>
      <c r="I82" s="34" t="inlineStr">
        <is>
          <t>—</t>
        </is>
      </c>
      <c r="J82" s="38">
        <f>IFERROR(VLOOKUP($I82,PROV_CREDIT,2,FALSE),1)</f>
        <v/>
      </c>
      <c r="K82" s="39">
        <f>IF($F82="N/A",0,$E82*IF(ISNUMBER($H82),MEDIAN(0,$H82,1),IF($G82="Yes",1,IF($G82="Partial",0.5,0)))*$J82)</f>
        <v/>
      </c>
      <c r="L82" s="40">
        <f>IF($F82="N/A",0,$E82)</f>
        <v/>
      </c>
      <c r="M82" s="39">
        <f>$L82-$K82</f>
        <v/>
      </c>
      <c r="N82" s="38">
        <f>IF($L82=0,0,ROUND($M82/SUMIF($B$2:$B$107,$B82,$L$2:$L$107)*100*IFERROR(VLOOKUP($B82,Scorecard!$A$6:$C$12,3,FALSE),0),2))</f>
        <v/>
      </c>
      <c r="O82" s="41" t="inlineStr">
        <is>
          <t>plans[0].plan_count &gt;= 3</t>
        </is>
      </c>
      <c r="P82" s="42" t="inlineStr">
        <is>
          <t>Three or more plans, describing a real tiering model — typically a free or trial tier through to production volume.</t>
        </is>
      </c>
      <c r="Q82" s="43" t="n"/>
      <c r="R82" s="44" t="n"/>
      <c r="S82" s="43" t="n"/>
      <c r="T82" s="32" t="inlineStr">
        <is>
          <t>always</t>
        </is>
      </c>
      <c r="U82" s="32" t="inlineStr"/>
      <c r="V82" s="35">
        <f>$N82-ROW()/100000</f>
        <v/>
      </c>
    </row>
    <row r="83">
      <c r="A83" s="31" t="inlineStr">
        <is>
          <t>Commercial Clarity</t>
        </is>
      </c>
      <c r="B83" s="31" t="inlineStr">
        <is>
          <t>Commercial Clarity</t>
        </is>
      </c>
      <c r="C83" s="32" t="inlineStr">
        <is>
          <t>pricing_link</t>
        </is>
      </c>
      <c r="D83" s="33" t="inlineStr">
        <is>
          <t>Pricing published</t>
        </is>
      </c>
      <c r="E83" s="34" t="n">
        <v>4</v>
      </c>
      <c r="F83" s="35">
        <f>IF(AND($U83&lt;&gt;"",REGIME="none"),"N/A",IF(AND($U83&lt;&gt;"",$U83&lt;&gt;"any",ISERROR(SEARCH(REGIME,$U83))),"N/A",IF(VLOOKUP($T83,GATES,2,FALSE)="Yes","Yes","N/A")))</f>
        <v/>
      </c>
      <c r="G83" s="36" t="inlineStr">
        <is>
          <t>No</t>
        </is>
      </c>
      <c r="H83" s="37" t="n"/>
      <c r="I83" s="34" t="inlineStr">
        <is>
          <t>—</t>
        </is>
      </c>
      <c r="J83" s="38">
        <f>IFERROR(VLOOKUP($I83,PROV_CREDIT,2,FALSE),1)</f>
        <v/>
      </c>
      <c r="K83" s="39">
        <f>IF($F83="N/A",0,$E83*IF(ISNUMBER($H83),MEDIAN(0,$H83,1),IF($G83="Yes",1,IF($G83="Partial",0.5,0)))*$J83)</f>
        <v/>
      </c>
      <c r="L83" s="40">
        <f>IF($F83="N/A",0,$E83)</f>
        <v/>
      </c>
      <c r="M83" s="39">
        <f>$L83-$K83</f>
        <v/>
      </c>
      <c r="N83" s="38">
        <f>IF($L83=0,0,ROUND($M83/SUMIF($B$2:$B$107,$B83,$L$2:$L$107)*100*IFERROR(VLOOKUP($B83,Scorecard!$A$6:$C$12,3,FALSE),0),2))</f>
        <v/>
      </c>
      <c r="O83" s="41" t="inlineStr">
        <is>
          <t>common[].type includes "Pricing"</t>
        </is>
      </c>
      <c r="P83" s="42" t="inlineStr">
        <is>
          <t>Pricing is public. "Contact us" is an answer, but it is not this one.</t>
        </is>
      </c>
      <c r="Q83" s="43" t="n"/>
      <c r="R83" s="44" t="n"/>
      <c r="S83" s="43" t="n"/>
      <c r="T83" s="32" t="inlineStr">
        <is>
          <t>always</t>
        </is>
      </c>
      <c r="U83" s="32" t="inlineStr"/>
      <c r="V83" s="35">
        <f>$N83-ROW()/100000</f>
        <v/>
      </c>
    </row>
    <row r="84">
      <c r="A84" s="31" t="inlineStr">
        <is>
          <t>Commercial Clarity</t>
        </is>
      </c>
      <c r="B84" s="31" t="inlineStr">
        <is>
          <t>Commercial Clarity</t>
        </is>
      </c>
      <c r="C84" s="32" t="inlineStr">
        <is>
          <t>sign_up_present</t>
        </is>
      </c>
      <c r="D84" s="33" t="inlineStr">
        <is>
          <t>Self-service sign-up</t>
        </is>
      </c>
      <c r="E84" s="34" t="n">
        <v>5</v>
      </c>
      <c r="F84" s="35">
        <f>IF(AND($U84&lt;&gt;"",REGIME="none"),"N/A",IF(AND($U84&lt;&gt;"",$U84&lt;&gt;"any",ISERROR(SEARCH(REGIME,$U84))),"N/A",IF(VLOOKUP($T84,GATES,2,FALSE)="Yes","Yes","N/A")))</f>
        <v/>
      </c>
      <c r="G84" s="36" t="inlineStr">
        <is>
          <t>No</t>
        </is>
      </c>
      <c r="H84" s="37" t="n"/>
      <c r="I84" s="34" t="inlineStr">
        <is>
          <t>—</t>
        </is>
      </c>
      <c r="J84" s="38">
        <f>IFERROR(VLOOKUP($I84,PROV_CREDIT,2,FALSE),1)</f>
        <v/>
      </c>
      <c r="K84" s="39">
        <f>IF($F84="N/A",0,$E84*IF(ISNUMBER($H84),MEDIAN(0,$H84,1),IF($G84="Yes",1,IF($G84="Partial",0.5,0)))*$J84)</f>
        <v/>
      </c>
      <c r="L84" s="40">
        <f>IF($F84="N/A",0,$E84)</f>
        <v/>
      </c>
      <c r="M84" s="39">
        <f>$L84-$K84</f>
        <v/>
      </c>
      <c r="N84" s="38">
        <f>IF($L84=0,0,ROUND($M84/SUMIF($B$2:$B$107,$B84,$L$2:$L$107)*100*IFERROR(VLOOKUP($B84,Scorecard!$A$6:$C$12,3,FALSE),0),2))</f>
        <v/>
      </c>
      <c r="O84" s="41" t="inlineStr">
        <is>
          <t>common[].type includes "SignUp" or "Login"</t>
        </is>
      </c>
      <c r="P84" s="42" t="inlineStr">
        <is>
          <t>A developer can get credentials themselves. Self-service sign-up is the line between an API you can try this afternoon and one you can try next quarter.</t>
        </is>
      </c>
      <c r="Q84" s="43" t="n"/>
      <c r="R84" s="44" t="n"/>
      <c r="S84" s="43" t="n"/>
      <c r="T84" s="32" t="inlineStr">
        <is>
          <t>always</t>
        </is>
      </c>
      <c r="U84" s="32" t="inlineStr"/>
      <c r="V84" s="35">
        <f>$N84-ROW()/100000</f>
        <v/>
      </c>
    </row>
    <row r="85">
      <c r="A85" s="31" t="inlineStr">
        <is>
          <t>Commercial Clarity</t>
        </is>
      </c>
      <c r="B85" s="31" t="inlineStr">
        <is>
          <t>Commercial Clarity</t>
        </is>
      </c>
      <c r="C85" s="32" t="inlineStr">
        <is>
          <t>terms_of_service</t>
        </is>
      </c>
      <c r="D85" s="33" t="inlineStr">
        <is>
          <t>Terms of service</t>
        </is>
      </c>
      <c r="E85" s="34" t="n">
        <v>4</v>
      </c>
      <c r="F85" s="35">
        <f>IF(AND($U85&lt;&gt;"",REGIME="none"),"N/A",IF(AND($U85&lt;&gt;"",$U85&lt;&gt;"any",ISERROR(SEARCH(REGIME,$U85))),"N/A",IF(VLOOKUP($T85,GATES,2,FALSE)="Yes","Yes","N/A")))</f>
        <v/>
      </c>
      <c r="G85" s="36" t="inlineStr">
        <is>
          <t>No</t>
        </is>
      </c>
      <c r="H85" s="37" t="n"/>
      <c r="I85" s="34" t="inlineStr">
        <is>
          <t>—</t>
        </is>
      </c>
      <c r="J85" s="38">
        <f>IFERROR(VLOOKUP($I85,PROV_CREDIT,2,FALSE),1)</f>
        <v/>
      </c>
      <c r="K85" s="39">
        <f>IF($F85="N/A",0,$E85*IF(ISNUMBER($H85),MEDIAN(0,$H85,1),IF($G85="Yes",1,IF($G85="Partial",0.5,0)))*$J85)</f>
        <v/>
      </c>
      <c r="L85" s="40">
        <f>IF($F85="N/A",0,$E85)</f>
        <v/>
      </c>
      <c r="M85" s="39">
        <f>$L85-$K85</f>
        <v/>
      </c>
      <c r="N85" s="38">
        <f>IF($L85=0,0,ROUND($M85/SUMIF($B$2:$B$107,$B85,$L$2:$L$107)*100*IFERROR(VLOOKUP($B85,Scorecard!$A$6:$C$12,3,FALSE),0),2))</f>
        <v/>
      </c>
      <c r="O85" s="41" t="inlineStr">
        <is>
          <t>common[].type includes "TermsOfService" (alias-aware)</t>
        </is>
      </c>
      <c r="P85" s="42" t="inlineStr">
        <is>
          <t>Published terms — what a consumer is actually agreeing to when they call the API.</t>
        </is>
      </c>
      <c r="Q85" s="43" t="n"/>
      <c r="R85" s="44" t="n"/>
      <c r="S85" s="43" t="n"/>
      <c r="T85" s="32" t="inlineStr">
        <is>
          <t>always</t>
        </is>
      </c>
      <c r="U85" s="32" t="inlineStr"/>
      <c r="V85" s="35">
        <f>$N85-ROW()/100000</f>
        <v/>
      </c>
    </row>
    <row r="86">
      <c r="A86" s="31" t="inlineStr">
        <is>
          <t>Commercial Clarity</t>
        </is>
      </c>
      <c r="B86" s="31" t="inlineStr">
        <is>
          <t>Commercial Clarity</t>
        </is>
      </c>
      <c r="C86" s="32" t="inlineStr">
        <is>
          <t>privacy_policy</t>
        </is>
      </c>
      <c r="D86" s="33" t="inlineStr">
        <is>
          <t>Privacy policy</t>
        </is>
      </c>
      <c r="E86" s="34" t="n">
        <v>4</v>
      </c>
      <c r="F86" s="35">
        <f>IF(AND($U86&lt;&gt;"",REGIME="none"),"N/A",IF(AND($U86&lt;&gt;"",$U86&lt;&gt;"any",ISERROR(SEARCH(REGIME,$U86))),"N/A",IF(VLOOKUP($T86,GATES,2,FALSE)="Yes","Yes","N/A")))</f>
        <v/>
      </c>
      <c r="G86" s="36" t="inlineStr">
        <is>
          <t>No</t>
        </is>
      </c>
      <c r="H86" s="37" t="n"/>
      <c r="I86" s="34" t="inlineStr">
        <is>
          <t>—</t>
        </is>
      </c>
      <c r="J86" s="38">
        <f>IFERROR(VLOOKUP($I86,PROV_CREDIT,2,FALSE),1)</f>
        <v/>
      </c>
      <c r="K86" s="39">
        <f>IF($F86="N/A",0,$E86*IF(ISNUMBER($H86),MEDIAN(0,$H86,1),IF($G86="Yes",1,IF($G86="Partial",0.5,0)))*$J86)</f>
        <v/>
      </c>
      <c r="L86" s="40">
        <f>IF($F86="N/A",0,$E86)</f>
        <v/>
      </c>
      <c r="M86" s="39">
        <f>$L86-$K86</f>
        <v/>
      </c>
      <c r="N86" s="38">
        <f>IF($L86=0,0,ROUND($M86/SUMIF($B$2:$B$107,$B86,$L$2:$L$107)*100*IFERROR(VLOOKUP($B86,Scorecard!$A$6:$C$12,3,FALSE),0),2))</f>
        <v/>
      </c>
      <c r="O86" s="41" t="inlineStr">
        <is>
          <t>common[].type includes "PrivacyPolicy" (alias-aware)</t>
        </is>
      </c>
      <c r="P86" s="42" t="inlineStr">
        <is>
          <t>A published privacy policy covering what happens to data passing through the API.</t>
        </is>
      </c>
      <c r="Q86" s="43" t="n"/>
      <c r="R86" s="44" t="n"/>
      <c r="S86" s="43" t="n"/>
      <c r="T86" s="32" t="inlineStr">
        <is>
          <t>always</t>
        </is>
      </c>
      <c r="U86" s="32" t="inlineStr"/>
      <c r="V86" s="35">
        <f>$N86-ROW()/100000</f>
        <v/>
      </c>
    </row>
    <row r="87">
      <c r="A87" s="31" t="inlineStr">
        <is>
          <t>Commercial Clarity</t>
        </is>
      </c>
      <c r="B87" s="31" t="inlineStr">
        <is>
          <t>Commercial Clarity</t>
        </is>
      </c>
      <c r="C87" s="32" t="inlineStr">
        <is>
          <t>finops_mapped</t>
        </is>
      </c>
      <c r="D87" s="33" t="inlineStr">
        <is>
          <t>FinOps mapping</t>
        </is>
      </c>
      <c r="E87" s="34" t="n">
        <v>3</v>
      </c>
      <c r="F87" s="35">
        <f>IF(AND($U87&lt;&gt;"",REGIME="none"),"N/A",IF(AND($U87&lt;&gt;"",$U87&lt;&gt;"any",ISERROR(SEARCH(REGIME,$U87))),"N/A",IF(VLOOKUP($T87,GATES,2,FALSE)="Yes","Yes","N/A")))</f>
        <v/>
      </c>
      <c r="G87" s="36" t="inlineStr">
        <is>
          <t>No</t>
        </is>
      </c>
      <c r="H87" s="37" t="n"/>
      <c r="I87" s="34" t="inlineStr">
        <is>
          <t>—</t>
        </is>
      </c>
      <c r="J87" s="38">
        <f>IFERROR(VLOOKUP($I87,PROV_CREDIT,2,FALSE),1)</f>
        <v/>
      </c>
      <c r="K87" s="39">
        <f>IF($F87="N/A",0,$E87*IF(ISNUMBER($H87),MEDIAN(0,$H87,1),IF($G87="Yes",1,IF($G87="Partial",0.5,0)))*$J87)</f>
        <v/>
      </c>
      <c r="L87" s="40">
        <f>IF($F87="N/A",0,$E87)</f>
        <v/>
      </c>
      <c r="M87" s="39">
        <f>$L87-$K87</f>
        <v/>
      </c>
      <c r="N87" s="38">
        <f>IF($L87=0,0,ROUND($M87/SUMIF($B$2:$B$107,$B87,$L$2:$L$107)*100*IFERROR(VLOOKUP($B87,Scorecard!$A$6:$C$12,3,FALSE),0),2))</f>
        <v/>
      </c>
      <c r="O87" s="41" t="inlineStr">
        <is>
          <t>len(finops) &gt;= 1</t>
        </is>
      </c>
      <c r="P87" s="42" t="inlineStr">
        <is>
          <t>Cost is mapped to usage in a machine-readable way, so consumption can be modelled and attributed rather than discovered on an invoice.</t>
        </is>
      </c>
      <c r="Q87" s="43" t="n"/>
      <c r="R87" s="44" t="n"/>
      <c r="S87" s="43" t="n"/>
      <c r="T87" s="32" t="inlineStr">
        <is>
          <t>always</t>
        </is>
      </c>
      <c r="U87" s="32" t="inlineStr"/>
      <c r="V87" s="35">
        <f>$N87-ROW()/100000</f>
        <v/>
      </c>
    </row>
    <row r="88">
      <c r="A88" s="31" t="inlineStr">
        <is>
          <t>Commercial Clarity</t>
        </is>
      </c>
      <c r="B88" s="31" t="inlineStr">
        <is>
          <t>Commercial Clarity</t>
        </is>
      </c>
      <c r="C88" s="32" t="inlineStr">
        <is>
          <t>compliance_published</t>
        </is>
      </c>
      <c r="D88" s="33" t="inlineStr">
        <is>
          <t>Compliance published</t>
        </is>
      </c>
      <c r="E88" s="34" t="n">
        <v>3</v>
      </c>
      <c r="F88" s="35">
        <f>IF(AND($U88&lt;&gt;"",REGIME="none"),"N/A",IF(AND($U88&lt;&gt;"",$U88&lt;&gt;"any",ISERROR(SEARCH(REGIME,$U88))),"N/A",IF(VLOOKUP($T88,GATES,2,FALSE)="Yes","Yes","N/A")))</f>
        <v/>
      </c>
      <c r="G88" s="36" t="inlineStr">
        <is>
          <t>No</t>
        </is>
      </c>
      <c r="H88" s="37" t="n"/>
      <c r="I88" s="34" t="inlineStr">
        <is>
          <t>—</t>
        </is>
      </c>
      <c r="J88" s="38">
        <f>IFERROR(VLOOKUP($I88,PROV_CREDIT,2,FALSE),1)</f>
        <v/>
      </c>
      <c r="K88" s="39">
        <f>IF($F88="N/A",0,$E88*IF(ISNUMBER($H88),MEDIAN(0,$H88,1),IF($G88="Yes",1,IF($G88="Partial",0.5,0)))*$J88)</f>
        <v/>
      </c>
      <c r="L88" s="40">
        <f>IF($F88="N/A",0,$E88)</f>
        <v/>
      </c>
      <c r="M88" s="39">
        <f>$L88-$K88</f>
        <v/>
      </c>
      <c r="N88" s="38">
        <f>IF($L88=0,0,ROUND($M88/SUMIF($B$2:$B$107,$B88,$L$2:$L$107)*100*IFERROR(VLOOKUP($B88,Scorecard!$A$6:$C$12,3,FALSE),0),2))</f>
        <v/>
      </c>
      <c r="O88" s="41" t="inlineStr">
        <is>
          <t>common[].type includes "Compliance"</t>
        </is>
      </c>
      <c r="P88" s="42" t="inlineStr">
        <is>
          <t>Certifications and compliance posture are stated in public — SOC 2, ISO, HIPAA, GDPR — where a reviewer can find them without asking.</t>
        </is>
      </c>
      <c r="Q88" s="43" t="n"/>
      <c r="R88" s="44" t="n"/>
      <c r="S88" s="43" t="n"/>
      <c r="T88" s="32" t="inlineStr">
        <is>
          <t>always</t>
        </is>
      </c>
      <c r="U88" s="32" t="inlineStr"/>
      <c r="V88" s="35">
        <f>$N88-ROW()/100000</f>
        <v/>
      </c>
    </row>
    <row r="89">
      <c r="A89" s="31" t="inlineStr">
        <is>
          <t>Commercial Clarity</t>
        </is>
      </c>
      <c r="B89" s="31" t="inlineStr">
        <is>
          <t>Commercial Clarity</t>
        </is>
      </c>
      <c r="C89" s="32" t="inlineStr">
        <is>
          <t>trust_center</t>
        </is>
      </c>
      <c r="D89" s="33" t="inlineStr">
        <is>
          <t>Trust center</t>
        </is>
      </c>
      <c r="E89" s="34" t="n">
        <v>3</v>
      </c>
      <c r="F89" s="35">
        <f>IF(AND($U89&lt;&gt;"",REGIME="none"),"N/A",IF(AND($U89&lt;&gt;"",$U89&lt;&gt;"any",ISERROR(SEARCH(REGIME,$U89))),"N/A",IF(VLOOKUP($T89,GATES,2,FALSE)="Yes","Yes","N/A")))</f>
        <v/>
      </c>
      <c r="G89" s="36" t="inlineStr">
        <is>
          <t>No</t>
        </is>
      </c>
      <c r="H89" s="37" t="n"/>
      <c r="I89" s="34" t="inlineStr">
        <is>
          <t>—</t>
        </is>
      </c>
      <c r="J89" s="38">
        <f>IFERROR(VLOOKUP($I89,PROV_CREDIT,2,FALSE),1)</f>
        <v/>
      </c>
      <c r="K89" s="39">
        <f>IF($F89="N/A",0,$E89*IF(ISNUMBER($H89),MEDIAN(0,$H89,1),IF($G89="Yes",1,IF($G89="Partial",0.5,0)))*$J89)</f>
        <v/>
      </c>
      <c r="L89" s="40">
        <f>IF($F89="N/A",0,$E89)</f>
        <v/>
      </c>
      <c r="M89" s="39">
        <f>$L89-$K89</f>
        <v/>
      </c>
      <c r="N89" s="38">
        <f>IF($L89=0,0,ROUND($M89/SUMIF($B$2:$B$107,$B89,$L$2:$L$107)*100*IFERROR(VLOOKUP($B89,Scorecard!$A$6:$C$12,3,FALSE),0),2))</f>
        <v/>
      </c>
      <c r="O89" s="41" t="inlineStr">
        <is>
          <t>common[].type includes "TrustCenter" or "Trust"</t>
        </is>
      </c>
      <c r="P89" s="42" t="inlineStr">
        <is>
          <t>A trust center consolidating security, compliance, and privacy posture into one place built for the person evaluating whether to depend on you.</t>
        </is>
      </c>
      <c r="Q89" s="43" t="n"/>
      <c r="R89" s="44" t="n"/>
      <c r="S89" s="43" t="n"/>
      <c r="T89" s="32" t="inlineStr">
        <is>
          <t>always</t>
        </is>
      </c>
      <c r="U89" s="32" t="inlineStr"/>
      <c r="V89" s="35">
        <f>$N89-ROW()/100000</f>
        <v/>
      </c>
    </row>
    <row r="90">
      <c r="A90" s="31" t="inlineStr">
        <is>
          <t>Regulatory Posture</t>
        </is>
      </c>
      <c r="B90" s="31" t="inlineStr">
        <is>
          <t>Regulatory Posture</t>
        </is>
      </c>
      <c r="C90" s="32" t="inlineStr">
        <is>
          <t>reg_oauth_scopes</t>
        </is>
      </c>
      <c r="D90" s="33" t="inlineStr">
        <is>
          <t>Consent-scoped authorization</t>
        </is>
      </c>
      <c r="E90" s="34" t="n">
        <v>10</v>
      </c>
      <c r="F90" s="35">
        <f>IF(AND($U90&lt;&gt;"",REGIME="none"),"N/A",IF(AND($U90&lt;&gt;"",$U90&lt;&gt;"any",ISERROR(SEARCH(REGIME,$U90))),"N/A",IF(VLOOKUP($T90,GATES,2,FALSE)="Yes","Yes","N/A")))</f>
        <v/>
      </c>
      <c r="G90" s="36" t="inlineStr">
        <is>
          <t>No</t>
        </is>
      </c>
      <c r="H90" s="37" t="n"/>
      <c r="I90" s="34" t="inlineStr">
        <is>
          <t>—</t>
        </is>
      </c>
      <c r="J90" s="38">
        <f>IFERROR(VLOOKUP($I90,PROV_CREDIT,2,FALSE),1)</f>
        <v/>
      </c>
      <c r="K90" s="39">
        <f>IF($F90="N/A",0,$E90*IF(ISNUMBER($H90),MEDIAN(0,$H90,1),IF($G90="Yes",1,IF($G90="Partial",0.5,0)))*$J90)</f>
        <v/>
      </c>
      <c r="L90" s="40">
        <f>IF($F90="N/A",0,$E90)</f>
        <v/>
      </c>
      <c r="M90" s="39">
        <f>$L90-$K90</f>
        <v/>
      </c>
      <c r="N90" s="38">
        <f>IF($L90=0,0,ROUND($M90/SUMIF($B$2:$B$107,$B90,$L$2:$L$107)*100*IFERROR(VLOOKUP($B90,Scorecard!$A$6:$C$12,3,FALSE),0),2))</f>
        <v/>
      </c>
      <c r="O90" s="41" t="inlineStr">
        <is>
          <t>common[].type includes "OAuthScopes" OR a scopes artifact is present</t>
        </is>
      </c>
      <c r="P90" s="42" t="inlineStr">
        <is>
          <t>Published OAuth/OIDC scopes — the machine-readable expression of least-privilege, consented access every data-sharing regime is built on. The single strongest regulatory signal.</t>
        </is>
      </c>
      <c r="Q90" s="43" t="n"/>
      <c r="R90" s="44" t="n"/>
      <c r="S90" s="43" t="n"/>
      <c r="T90" s="32" t="inlineStr">
        <is>
          <t>always</t>
        </is>
      </c>
      <c r="U90" s="32" t="inlineStr"/>
      <c r="V90" s="35">
        <f>$N90-ROW()/100000</f>
        <v/>
      </c>
    </row>
    <row r="91">
      <c r="A91" s="31" t="inlineStr">
        <is>
          <t>Regulatory Posture</t>
        </is>
      </c>
      <c r="B91" s="31" t="inlineStr">
        <is>
          <t>Regulatory Posture</t>
        </is>
      </c>
      <c r="C91" s="32" t="inlineStr">
        <is>
          <t>reg_authentication_documented</t>
        </is>
      </c>
      <c r="D91" s="33" t="inlineStr">
        <is>
          <t>Authentication model documented</t>
        </is>
      </c>
      <c r="E91" s="34" t="n">
        <v>6</v>
      </c>
      <c r="F91" s="35">
        <f>IF(AND($U91&lt;&gt;"",REGIME="none"),"N/A",IF(AND($U91&lt;&gt;"",$U91&lt;&gt;"any",ISERROR(SEARCH(REGIME,$U91))),"N/A",IF(VLOOKUP($T91,GATES,2,FALSE)="Yes","Yes","N/A")))</f>
        <v/>
      </c>
      <c r="G91" s="36" t="inlineStr">
        <is>
          <t>No</t>
        </is>
      </c>
      <c r="H91" s="37" t="n"/>
      <c r="I91" s="34" t="inlineStr">
        <is>
          <t>—</t>
        </is>
      </c>
      <c r="J91" s="38">
        <f>IFERROR(VLOOKUP($I91,PROV_CREDIT,2,FALSE),1)</f>
        <v/>
      </c>
      <c r="K91" s="39">
        <f>IF($F91="N/A",0,$E91*IF(ISNUMBER($H91),MEDIAN(0,$H91,1),IF($G91="Yes",1,IF($G91="Partial",0.5,0)))*$J91)</f>
        <v/>
      </c>
      <c r="L91" s="40">
        <f>IF($F91="N/A",0,$E91)</f>
        <v/>
      </c>
      <c r="M91" s="39">
        <f>$L91-$K91</f>
        <v/>
      </c>
      <c r="N91" s="38">
        <f>IF($L91=0,0,ROUND($M91/SUMIF($B$2:$B$107,$B91,$L$2:$L$107)*100*IFERROR(VLOOKUP($B91,Scorecard!$A$6:$C$12,3,FALSE),0),2))</f>
        <v/>
      </c>
      <c r="O91" s="41" t="inlineStr">
        <is>
          <t>common[].type includes "Authentication" or "OpenIDConnect"</t>
        </is>
      </c>
      <c r="P91" s="42" t="inlineStr">
        <is>
          <t>A documented authentication/authorization model (OIDC, mTLS, PAR). A regulated API that will not say how it authenticates cannot be trusted to hold the line the regime draws.</t>
        </is>
      </c>
      <c r="Q91" s="43" t="n"/>
      <c r="R91" s="44" t="n"/>
      <c r="S91" s="43" t="n"/>
      <c r="T91" s="32" t="inlineStr">
        <is>
          <t>always</t>
        </is>
      </c>
      <c r="U91" s="32" t="inlineStr"/>
      <c r="V91" s="35">
        <f>$N91-ROW()/100000</f>
        <v/>
      </c>
    </row>
    <row r="92">
      <c r="A92" s="31" t="inlineStr">
        <is>
          <t>Regulatory Posture</t>
        </is>
      </c>
      <c r="B92" s="31" t="inlineStr">
        <is>
          <t>Regulatory Posture</t>
        </is>
      </c>
      <c r="C92" s="32" t="inlineStr">
        <is>
          <t>reg_security_disclosure</t>
        </is>
      </c>
      <c r="D92" s="33" t="inlineStr">
        <is>
          <t>Security posture published</t>
        </is>
      </c>
      <c r="E92" s="34" t="n">
        <v>6</v>
      </c>
      <c r="F92" s="35">
        <f>IF(AND($U92&lt;&gt;"",REGIME="none"),"N/A",IF(AND($U92&lt;&gt;"",$U92&lt;&gt;"any",ISERROR(SEARCH(REGIME,$U92))),"N/A",IF(VLOOKUP($T92,GATES,2,FALSE)="Yes","Yes","N/A")))</f>
        <v/>
      </c>
      <c r="G92" s="36" t="inlineStr">
        <is>
          <t>No</t>
        </is>
      </c>
      <c r="H92" s="37" t="n"/>
      <c r="I92" s="34" t="inlineStr">
        <is>
          <t>—</t>
        </is>
      </c>
      <c r="J92" s="38">
        <f>IFERROR(VLOOKUP($I92,PROV_CREDIT,2,FALSE),1)</f>
        <v/>
      </c>
      <c r="K92" s="39">
        <f>IF($F92="N/A",0,$E92*IF(ISNUMBER($H92),MEDIAN(0,$H92,1),IF($G92="Yes",1,IF($G92="Partial",0.5,0)))*$J92)</f>
        <v/>
      </c>
      <c r="L92" s="40">
        <f>IF($F92="N/A",0,$E92)</f>
        <v/>
      </c>
      <c r="M92" s="39">
        <f>$L92-$K92</f>
        <v/>
      </c>
      <c r="N92" s="38">
        <f>IF($L92=0,0,ROUND($M92/SUMIF($B$2:$B$107,$B92,$L$2:$L$107)*100*IFERROR(VLOOKUP($B92,Scorecard!$A$6:$C$12,3,FALSE),0),2))</f>
        <v/>
      </c>
      <c r="O92" s="41" t="inlineStr">
        <is>
          <t>common[].type includes "Security" or "DomainSecurity"</t>
        </is>
      </c>
      <c r="P92" s="42" t="inlineStr">
        <is>
          <t>A published security policy or domain-security posture. Regulated data demands a stated, verifiable security stance, not an assumed one.</t>
        </is>
      </c>
      <c r="Q92" s="43" t="n"/>
      <c r="R92" s="44" t="n"/>
      <c r="S92" s="43" t="n"/>
      <c r="T92" s="32" t="inlineStr">
        <is>
          <t>always</t>
        </is>
      </c>
      <c r="U92" s="32" t="inlineStr"/>
      <c r="V92" s="35">
        <f>$N92-ROW()/100000</f>
        <v/>
      </c>
    </row>
    <row r="93">
      <c r="A93" s="31" t="inlineStr">
        <is>
          <t>Regulatory Posture</t>
        </is>
      </c>
      <c r="B93" s="31" t="inlineStr">
        <is>
          <t>Regulatory Posture</t>
        </is>
      </c>
      <c r="C93" s="32" t="inlineStr">
        <is>
          <t>reg_vulnerability_disclosure</t>
        </is>
      </c>
      <c r="D93" s="33" t="inlineStr">
        <is>
          <t>Vulnerability disclosure program</t>
        </is>
      </c>
      <c r="E93" s="34" t="n">
        <v>6</v>
      </c>
      <c r="F93" s="35">
        <f>IF(AND($U93&lt;&gt;"",REGIME="none"),"N/A",IF(AND($U93&lt;&gt;"",$U93&lt;&gt;"any",ISERROR(SEARCH(REGIME,$U93))),"N/A",IF(VLOOKUP($T93,GATES,2,FALSE)="Yes","Yes","N/A")))</f>
        <v/>
      </c>
      <c r="G93" s="36" t="inlineStr">
        <is>
          <t>No</t>
        </is>
      </c>
      <c r="H93" s="37" t="n"/>
      <c r="I93" s="34" t="inlineStr">
        <is>
          <t>—</t>
        </is>
      </c>
      <c r="J93" s="38">
        <f>IFERROR(VLOOKUP($I93,PROV_CREDIT,2,FALSE),1)</f>
        <v/>
      </c>
      <c r="K93" s="39">
        <f>IF($F93="N/A",0,$E93*IF(ISNUMBER($H93),MEDIAN(0,$H93,1),IF($G93="Yes",1,IF($G93="Partial",0.5,0)))*$J93)</f>
        <v/>
      </c>
      <c r="L93" s="40">
        <f>IF($F93="N/A",0,$E93)</f>
        <v/>
      </c>
      <c r="M93" s="39">
        <f>$L93-$K93</f>
        <v/>
      </c>
      <c r="N93" s="38">
        <f>IF($L93=0,0,ROUND($M93/SUMIF($B$2:$B$107,$B93,$L$2:$L$107)*100*IFERROR(VLOOKUP($B93,Scorecard!$A$6:$C$12,3,FALSE),0),2))</f>
        <v/>
      </c>
      <c r="O93" s="41" t="inlineStr">
        <is>
          <t>common[].type includes "VulnerabilityDisclosure"</t>
        </is>
      </c>
      <c r="P93" s="42" t="inlineStr">
        <is>
          <t>A VDP / responsible-disclosure channel. For a regulated provider this is table stakes, and its absence is a conspicuous gap.</t>
        </is>
      </c>
      <c r="Q93" s="43" t="n"/>
      <c r="R93" s="44" t="n"/>
      <c r="S93" s="43" t="n"/>
      <c r="T93" s="32" t="inlineStr">
        <is>
          <t>always</t>
        </is>
      </c>
      <c r="U93" s="32" t="inlineStr"/>
      <c r="V93" s="35">
        <f>$N93-ROW()/100000</f>
        <v/>
      </c>
    </row>
    <row r="94">
      <c r="A94" s="31" t="inlineStr">
        <is>
          <t>Regulatory Posture</t>
        </is>
      </c>
      <c r="B94" s="31" t="inlineStr">
        <is>
          <t>Regulatory Posture</t>
        </is>
      </c>
      <c r="C94" s="32" t="inlineStr">
        <is>
          <t>reg_terms_of_service</t>
        </is>
      </c>
      <c r="D94" s="33" t="inlineStr">
        <is>
          <t>Terms of service (legal basis)</t>
        </is>
      </c>
      <c r="E94" s="34" t="n">
        <v>4</v>
      </c>
      <c r="F94" s="35">
        <f>IF(AND($U94&lt;&gt;"",REGIME="none"),"N/A",IF(AND($U94&lt;&gt;"",$U94&lt;&gt;"any",ISERROR(SEARCH(REGIME,$U94))),"N/A",IF(VLOOKUP($T94,GATES,2,FALSE)="Yes","Yes","N/A")))</f>
        <v/>
      </c>
      <c r="G94" s="36" t="inlineStr">
        <is>
          <t>No</t>
        </is>
      </c>
      <c r="H94" s="37" t="n"/>
      <c r="I94" s="34" t="inlineStr">
        <is>
          <t>—</t>
        </is>
      </c>
      <c r="J94" s="38">
        <f>IFERROR(VLOOKUP($I94,PROV_CREDIT,2,FALSE),1)</f>
        <v/>
      </c>
      <c r="K94" s="39">
        <f>IF($F94="N/A",0,$E94*IF(ISNUMBER($H94),MEDIAN(0,$H94,1),IF($G94="Yes",1,IF($G94="Partial",0.5,0)))*$J94)</f>
        <v/>
      </c>
      <c r="L94" s="40">
        <f>IF($F94="N/A",0,$E94)</f>
        <v/>
      </c>
      <c r="M94" s="39">
        <f>$L94-$K94</f>
        <v/>
      </c>
      <c r="N94" s="38">
        <f>IF($L94=0,0,ROUND($M94/SUMIF($B$2:$B$107,$B94,$L$2:$L$107)*100*IFERROR(VLOOKUP($B94,Scorecard!$A$6:$C$12,3,FALSE),0),2))</f>
        <v/>
      </c>
      <c r="O94" s="41" t="inlineStr">
        <is>
          <t>common[].type includes "TermsOfService"</t>
        </is>
      </c>
      <c r="P94" s="42" t="inlineStr">
        <is>
          <t>Machine-findable terms establishing the legal basis for access — the contract a regulator expects to exist and be discoverable.</t>
        </is>
      </c>
      <c r="Q94" s="43" t="n"/>
      <c r="R94" s="44" t="n"/>
      <c r="S94" s="43" t="n"/>
      <c r="T94" s="32" t="inlineStr">
        <is>
          <t>always</t>
        </is>
      </c>
      <c r="U94" s="32" t="inlineStr"/>
      <c r="V94" s="35">
        <f>$N94-ROW()/100000</f>
        <v/>
      </c>
    </row>
    <row r="95">
      <c r="A95" s="31" t="inlineStr">
        <is>
          <t>Regulatory Posture</t>
        </is>
      </c>
      <c r="B95" s="31" t="inlineStr">
        <is>
          <t>Regulatory Posture</t>
        </is>
      </c>
      <c r="C95" s="32" t="inlineStr">
        <is>
          <t>reg_privacy_policy</t>
        </is>
      </c>
      <c r="D95" s="33" t="inlineStr">
        <is>
          <t>Privacy policy (data handling)</t>
        </is>
      </c>
      <c r="E95" s="34" t="n">
        <v>4</v>
      </c>
      <c r="F95" s="35">
        <f>IF(AND($U95&lt;&gt;"",REGIME="none"),"N/A",IF(AND($U95&lt;&gt;"",$U95&lt;&gt;"any",ISERROR(SEARCH(REGIME,$U95))),"N/A",IF(VLOOKUP($T95,GATES,2,FALSE)="Yes","Yes","N/A")))</f>
        <v/>
      </c>
      <c r="G95" s="36" t="inlineStr">
        <is>
          <t>No</t>
        </is>
      </c>
      <c r="H95" s="37" t="n"/>
      <c r="I95" s="34" t="inlineStr">
        <is>
          <t>—</t>
        </is>
      </c>
      <c r="J95" s="38">
        <f>IFERROR(VLOOKUP($I95,PROV_CREDIT,2,FALSE),1)</f>
        <v/>
      </c>
      <c r="K95" s="39">
        <f>IF($F95="N/A",0,$E95*IF(ISNUMBER($H95),MEDIAN(0,$H95,1),IF($G95="Yes",1,IF($G95="Partial",0.5,0)))*$J95)</f>
        <v/>
      </c>
      <c r="L95" s="40">
        <f>IF($F95="N/A",0,$E95)</f>
        <v/>
      </c>
      <c r="M95" s="39">
        <f>$L95-$K95</f>
        <v/>
      </c>
      <c r="N95" s="38">
        <f>IF($L95=0,0,ROUND($M95/SUMIF($B$2:$B$107,$B95,$L$2:$L$107)*100*IFERROR(VLOOKUP($B95,Scorecard!$A$6:$C$12,3,FALSE),0),2))</f>
        <v/>
      </c>
      <c r="O95" s="41" t="inlineStr">
        <is>
          <t>common[].type includes "PrivacyPolicy"</t>
        </is>
      </c>
      <c r="P95" s="42" t="inlineStr">
        <is>
          <t>A published privacy policy stating how personal/consumer data is handled — the disclosure most regulated regimes require.</t>
        </is>
      </c>
      <c r="Q95" s="43" t="n"/>
      <c r="R95" s="44" t="n"/>
      <c r="S95" s="43" t="n"/>
      <c r="T95" s="32" t="inlineStr">
        <is>
          <t>always</t>
        </is>
      </c>
      <c r="U95" s="32" t="inlineStr"/>
      <c r="V95" s="35">
        <f>$N95-ROW()/100000</f>
        <v/>
      </c>
    </row>
    <row r="96">
      <c r="A96" s="31" t="inlineStr">
        <is>
          <t>Regulatory Posture</t>
        </is>
      </c>
      <c r="B96" s="31" t="inlineStr">
        <is>
          <t>Regulatory Posture</t>
        </is>
      </c>
      <c r="C96" s="32" t="inlineStr">
        <is>
          <t>reg_compliance_published</t>
        </is>
      </c>
      <c r="D96" s="33" t="inlineStr">
        <is>
          <t>Compliance / certification disclosure</t>
        </is>
      </c>
      <c r="E96" s="34" t="n">
        <v>5</v>
      </c>
      <c r="F96" s="35">
        <f>IF(AND($U96&lt;&gt;"",REGIME="none"),"N/A",IF(AND($U96&lt;&gt;"",$U96&lt;&gt;"any",ISERROR(SEARCH(REGIME,$U96))),"N/A",IF(VLOOKUP($T96,GATES,2,FALSE)="Yes","Yes","N/A")))</f>
        <v/>
      </c>
      <c r="G96" s="36" t="inlineStr">
        <is>
          <t>No</t>
        </is>
      </c>
      <c r="H96" s="37" t="n"/>
      <c r="I96" s="34" t="inlineStr">
        <is>
          <t>—</t>
        </is>
      </c>
      <c r="J96" s="38">
        <f>IFERROR(VLOOKUP($I96,PROV_CREDIT,2,FALSE),1)</f>
        <v/>
      </c>
      <c r="K96" s="39">
        <f>IF($F96="N/A",0,$E96*IF(ISNUMBER($H96),MEDIAN(0,$H96,1),IF($G96="Yes",1,IF($G96="Partial",0.5,0)))*$J96)</f>
        <v/>
      </c>
      <c r="L96" s="40">
        <f>IF($F96="N/A",0,$E96)</f>
        <v/>
      </c>
      <c r="M96" s="39">
        <f>$L96-$K96</f>
        <v/>
      </c>
      <c r="N96" s="38">
        <f>IF($L96=0,0,ROUND($M96/SUMIF($B$2:$B$107,$B96,$L$2:$L$107)*100*IFERROR(VLOOKUP($B96,Scorecard!$A$6:$C$12,3,FALSE),0),2))</f>
        <v/>
      </c>
      <c r="O96" s="41" t="inlineStr">
        <is>
          <t>common[].type includes "Compliance" or "TrustCenter" or "Trust"</t>
        </is>
      </c>
      <c r="P96" s="42" t="inlineStr">
        <is>
          <t>Published compliance, certification, or trust-center content (SOC 2, ISO 27001, PCI, regime attestations) — evidence the provider holds itself to an external standard, not just its own word.</t>
        </is>
      </c>
      <c r="Q96" s="43" t="n"/>
      <c r="R96" s="44" t="n"/>
      <c r="S96" s="43" t="n"/>
      <c r="T96" s="32" t="inlineStr">
        <is>
          <t>always</t>
        </is>
      </c>
      <c r="U96" s="32" t="inlineStr"/>
      <c r="V96" s="35">
        <f>$N96-ROW()/100000</f>
        <v/>
      </c>
    </row>
    <row r="97">
      <c r="A97" s="31" t="inlineStr">
        <is>
          <t>Regulatory Posture</t>
        </is>
      </c>
      <c r="B97" s="31" t="inlineStr">
        <is>
          <t>Regulatory Posture</t>
        </is>
      </c>
      <c r="C97" s="32" t="inlineStr">
        <is>
          <t>reg_standards_conformance</t>
        </is>
      </c>
      <c r="D97" s="33" t="inlineStr">
        <is>
          <t>Data-standard conformance</t>
        </is>
      </c>
      <c r="E97" s="34" t="n">
        <v>5</v>
      </c>
      <c r="F97" s="35">
        <f>IF(AND($U97&lt;&gt;"",REGIME="none"),"N/A",IF(AND($U97&lt;&gt;"",$U97&lt;&gt;"any",ISERROR(SEARCH(REGIME,$U97))),"N/A",IF(VLOOKUP($T97,GATES,2,FALSE)="Yes","Yes","N/A")))</f>
        <v/>
      </c>
      <c r="G97" s="36" t="inlineStr">
        <is>
          <t>No</t>
        </is>
      </c>
      <c r="H97" s="37" t="n"/>
      <c r="I97" s="34" t="inlineStr">
        <is>
          <t>—</t>
        </is>
      </c>
      <c r="J97" s="38">
        <f>IFERROR(VLOOKUP($I97,PROV_CREDIT,2,FALSE),1)</f>
        <v/>
      </c>
      <c r="K97" s="39">
        <f>IF($F97="N/A",0,$E97*IF(ISNUMBER($H97),MEDIAN(0,$H97,1),IF($G97="Yes",1,IF($G97="Partial",0.5,0)))*$J97)</f>
        <v/>
      </c>
      <c r="L97" s="40">
        <f>IF($F97="N/A",0,$E97)</f>
        <v/>
      </c>
      <c r="M97" s="39">
        <f>$L97-$K97</f>
        <v/>
      </c>
      <c r="N97" s="38">
        <f>IF($L97=0,0,ROUND($M97/SUMIF($B$2:$B$107,$B97,$L$2:$L$107)*100*IFERROR(VLOOKUP($B97,Scorecard!$A$6:$C$12,3,FALSE),0),2))</f>
        <v/>
      </c>
      <c r="O97" s="41" t="inlineStr">
        <is>
          <t>implements a recognized data standard — common[].type includes "Standard"/"Conformance", or a Vocabulary/JSON-LD context is published</t>
        </is>
      </c>
      <c r="P97" s="42" t="inlineStr">
        <is>
          <t>Evidence the API conforms to the industry's data standard (a named standard, conformance artifact, or a published vocabulary/JSON-LD context). In a regulated space, speaking the mandated shape is the difference between interoperable and merely present.</t>
        </is>
      </c>
      <c r="Q97" s="43" t="n"/>
      <c r="R97" s="44" t="n"/>
      <c r="S97" s="43" t="n"/>
      <c r="T97" s="32" t="inlineStr">
        <is>
          <t>always</t>
        </is>
      </c>
      <c r="U97" s="32" t="inlineStr"/>
      <c r="V97" s="35">
        <f>$N97-ROW()/100000</f>
        <v/>
      </c>
    </row>
    <row r="98">
      <c r="A98" s="31" t="inlineStr">
        <is>
          <t>Regulatory Posture</t>
        </is>
      </c>
      <c r="B98" s="31" t="inlineStr">
        <is>
          <t>Regulatory Posture</t>
        </is>
      </c>
      <c r="C98" s="32" t="inlineStr">
        <is>
          <t>reg_named_standard_conformance</t>
        </is>
      </c>
      <c r="D98" s="33" t="inlineStr">
        <is>
          <t>Conforms to the standard named for its regime</t>
        </is>
      </c>
      <c r="E98" s="34" t="n">
        <v>8</v>
      </c>
      <c r="F98" s="35">
        <f>IF(AND($U98&lt;&gt;"",REGIME="none"),"N/A",IF(AND($U98&lt;&gt;"",$U98&lt;&gt;"any",ISERROR(SEARCH(REGIME,$U98))),"N/A",IF(VLOOKUP($T98,GATES,2,FALSE)="Yes","Yes","N/A")))</f>
        <v/>
      </c>
      <c r="G98" s="36" t="inlineStr">
        <is>
          <t>No</t>
        </is>
      </c>
      <c r="H98" s="37" t="n"/>
      <c r="I98" s="34" t="inlineStr">
        <is>
          <t>—</t>
        </is>
      </c>
      <c r="J98" s="38">
        <f>IFERROR(VLOOKUP($I98,PROV_CREDIT,2,FALSE),1)</f>
        <v/>
      </c>
      <c r="K98" s="39">
        <f>IF($F98="N/A",0,$E98*IF(ISNUMBER($H98),MEDIAN(0,$H98,1),IF($G98="Yes",1,IF($G98="Partial",0.5,0)))*$J98)</f>
        <v/>
      </c>
      <c r="L98" s="40">
        <f>IF($F98="N/A",0,$E98)</f>
        <v/>
      </c>
      <c r="M98" s="39">
        <f>$L98-$K98</f>
        <v/>
      </c>
      <c r="N98" s="38">
        <f>IF($L98=0,0,ROUND($M98/SUMIF($B$2:$B$107,$B98,$L$2:$L$107)*100*IFERROR(VLOOKUP($B98,Scorecard!$A$6:$C$12,3,FALSE),0),2))</f>
        <v/>
      </c>
      <c r="O98" s="41" t="inlineStr">
        <is>
          <t>conformance/ declares conformance to a standard listed under the matched regime`s `standards:` — not merely a generic Standard tag</t>
        </is>
      </c>
      <c r="P98" s="42" t="inlineStr">
        <is>
          <t>The provider conforms to the standard RECOGNIZED FOR ITS REGIME, resolved against the standards catalog: OBIE, the DSB Consumer Data Standards, FDX or Berlin Group for open banking; US Core / USCDI for health; ACORD, CIECA or CSIO for insurance; CAMARA or TM Forum for telecom; Green Button / ESPI or cds-energy for energy. This supersedes the generic check above in strength for a reason the banking quartet made plain: a `Standard` tag credits an intention, while naming the instrument credits a fact. It is also the check the insurance quartet needed to state its emptiest finding honestly — ACORD is live inside a machine-readable contract at exactly one company worldwide.</t>
        </is>
      </c>
      <c r="Q98" s="43" t="n"/>
      <c r="R98" s="44" t="n"/>
      <c r="S98" s="43" t="n"/>
      <c r="T98" s="32" t="inlineStr">
        <is>
          <t>always</t>
        </is>
      </c>
      <c r="U98" s="32" t="inlineStr">
        <is>
          <t>any</t>
        </is>
      </c>
      <c r="V98" s="35">
        <f>$N98-ROW()/100000</f>
        <v/>
      </c>
    </row>
    <row r="99">
      <c r="A99" s="31" t="inlineStr">
        <is>
          <t>Regulatory Posture</t>
        </is>
      </c>
      <c r="B99" s="31" t="inlineStr">
        <is>
          <t>Regulatory Posture</t>
        </is>
      </c>
      <c r="C99" s="32" t="inlineStr">
        <is>
          <t>reg_fapi_profile</t>
        </is>
      </c>
      <c r="D99" s="33" t="inlineStr">
        <is>
          <t>FAPI / hardened authorization profile</t>
        </is>
      </c>
      <c r="E99" s="34" t="n">
        <v>6</v>
      </c>
      <c r="F99" s="35">
        <f>IF(AND($U99&lt;&gt;"",REGIME="none"),"N/A",IF(AND($U99&lt;&gt;"",$U99&lt;&gt;"any",ISERROR(SEARCH(REGIME,$U99))),"N/A",IF(VLOOKUP($T99,GATES,2,FALSE)="Yes","Yes","N/A")))</f>
        <v/>
      </c>
      <c r="G99" s="36" t="inlineStr">
        <is>
          <t>No</t>
        </is>
      </c>
      <c r="H99" s="37" t="n"/>
      <c r="I99" s="34" t="inlineStr">
        <is>
          <t>—</t>
        </is>
      </c>
      <c r="J99" s="38">
        <f>IFERROR(VLOOKUP($I99,PROV_CREDIT,2,FALSE),1)</f>
        <v/>
      </c>
      <c r="K99" s="39">
        <f>IF($F99="N/A",0,$E99*IF(ISNUMBER($H99),MEDIAN(0,$H99,1),IF($G99="Yes",1,IF($G99="Partial",0.5,0)))*$J99)</f>
        <v/>
      </c>
      <c r="L99" s="40">
        <f>IF($F99="N/A",0,$E99)</f>
        <v/>
      </c>
      <c r="M99" s="39">
        <f>$L99-$K99</f>
        <v/>
      </c>
      <c r="N99" s="38">
        <f>IF($L99=0,0,ROUND($M99/SUMIF($B$2:$B$107,$B99,$L$2:$L$107)*100*IFERROR(VLOOKUP($B99,Scorecard!$A$6:$C$12,3,FALSE),0),2))</f>
        <v/>
      </c>
      <c r="O99" s="41" t="inlineStr">
        <is>
          <t>conformance declares FAPI or FAPI 2.0, or auth artifacts document PAR, private_key_jwt or mTLS-bound tokens</t>
        </is>
      </c>
      <c r="P99" s="42" t="inlineStr">
        <is>
          <t>The security profile CDR, UK Open Banking and PSD2 actually mandate, beyond generic OAuth: the FAPI profile, pushed authorization requests, private_key_jwt client authentication, mTLS-bound tokens. Generic OAuth is table stakes; this is the stack the regime specifies.</t>
        </is>
      </c>
      <c r="Q99" s="43" t="n"/>
      <c r="R99" s="44" t="n"/>
      <c r="S99" s="43" t="n"/>
      <c r="T99" s="32" t="inlineStr">
        <is>
          <t>always</t>
        </is>
      </c>
      <c r="U99" s="32" t="inlineStr">
        <is>
          <t>banking_open_finance</t>
        </is>
      </c>
      <c r="V99" s="35">
        <f>$N99-ROW()/100000</f>
        <v/>
      </c>
    </row>
    <row r="100">
      <c r="A100" s="31" t="inlineStr">
        <is>
          <t>Regulatory Posture</t>
        </is>
      </c>
      <c r="B100" s="31" t="inlineStr">
        <is>
          <t>Regulatory Posture</t>
        </is>
      </c>
      <c r="C100" s="32" t="inlineStr">
        <is>
          <t>reg_consent_model</t>
        </is>
      </c>
      <c r="D100" s="33" t="inlineStr">
        <is>
          <t>Published consent model</t>
        </is>
      </c>
      <c r="E100" s="34" t="n">
        <v>7</v>
      </c>
      <c r="F100" s="35">
        <f>IF(AND($U100&lt;&gt;"",REGIME="none"),"N/A",IF(AND($U100&lt;&gt;"",$U100&lt;&gt;"any",ISERROR(SEARCH(REGIME,$U100))),"N/A",IF(VLOOKUP($T100,GATES,2,FALSE)="Yes","Yes","N/A")))</f>
        <v/>
      </c>
      <c r="G100" s="36" t="inlineStr">
        <is>
          <t>No</t>
        </is>
      </c>
      <c r="H100" s="37" t="n"/>
      <c r="I100" s="34" t="inlineStr">
        <is>
          <t>—</t>
        </is>
      </c>
      <c r="J100" s="38">
        <f>IFERROR(VLOOKUP($I100,PROV_CREDIT,2,FALSE),1)</f>
        <v/>
      </c>
      <c r="K100" s="39">
        <f>IF($F100="N/A",0,$E100*IF(ISNUMBER($H100),MEDIAN(0,$H100,1),IF($G100="Yes",1,IF($G100="Partial",0.5,0)))*$J100)</f>
        <v/>
      </c>
      <c r="L100" s="40">
        <f>IF($F100="N/A",0,$E100)</f>
        <v/>
      </c>
      <c r="M100" s="39">
        <f>$L100-$K100</f>
        <v/>
      </c>
      <c r="N100" s="38">
        <f>IF($L100=0,0,ROUND($M100/SUMIF($B$2:$B$107,$B100,$L$2:$L$107)*100*IFERROR(VLOOKUP($B100,Scorecard!$A$6:$C$12,3,FALSE),0),2))</f>
        <v/>
      </c>
      <c r="O100" s="41" t="inlineStr">
        <is>
          <t>a machine-readable consent surface — consent scopes, a FHIR Consent resource, a CDR consent artifact, or a documented consent/authorization model</t>
        </is>
      </c>
      <c r="P100" s="42" t="inlineStr">
        <is>
          <t>A consent surface a machine can read. This is the structural gap the whole series found and the reason it is weighted where it is: in market after market whose entire premise is consumer consent, machine-readable consent ran in the single digits. A FHIR Consent resource is exposed by essentially nobody; insurance ran at 2.5% in the US and zero among every market's leaders, in the most personally-invasive data business in the economy. Weighted heaviest in insurance and telecom precisely BECAUSE no rule compels it there — where consent is unmandated its presence is a genuine differentiator rather than a compliance artifact.</t>
        </is>
      </c>
      <c r="Q100" s="43" t="n"/>
      <c r="R100" s="44" t="n"/>
      <c r="S100" s="43" t="n"/>
      <c r="T100" s="32" t="inlineStr">
        <is>
          <t>always</t>
        </is>
      </c>
      <c r="U100" s="32" t="inlineStr">
        <is>
          <t>banking_open_finance,health,insurance,telecommunications,energy_utilities</t>
        </is>
      </c>
      <c r="V100" s="35">
        <f>$N100-ROW()/100000</f>
        <v/>
      </c>
    </row>
    <row r="101">
      <c r="A101" s="31" t="inlineStr">
        <is>
          <t>Regulatory Posture</t>
        </is>
      </c>
      <c r="B101" s="31" t="inlineStr">
        <is>
          <t>Regulatory Posture</t>
        </is>
      </c>
      <c r="C101" s="32" t="inlineStr">
        <is>
          <t>reg_write_surface</t>
        </is>
      </c>
      <c r="D101" s="33" t="inlineStr">
        <is>
          <t>Action / write surface</t>
        </is>
      </c>
      <c r="E101" s="34" t="n">
        <v>4</v>
      </c>
      <c r="F101" s="35">
        <f>IF(AND($U101&lt;&gt;"",REGIME="none"),"N/A",IF(AND($U101&lt;&gt;"",$U101&lt;&gt;"any",ISERROR(SEARCH(REGIME,$U101))),"N/A",IF(VLOOKUP($T101,GATES,2,FALSE)="Yes","Yes","N/A")))</f>
        <v/>
      </c>
      <c r="G101" s="36" t="inlineStr">
        <is>
          <t>No</t>
        </is>
      </c>
      <c r="H101" s="37" t="n"/>
      <c r="I101" s="34" t="inlineStr">
        <is>
          <t>—</t>
        </is>
      </c>
      <c r="J101" s="38">
        <f>IFERROR(VLOOKUP($I101,PROV_CREDIT,2,FALSE),1)</f>
        <v/>
      </c>
      <c r="K101" s="39">
        <f>IF($F101="N/A",0,$E101*IF(ISNUMBER($H101),MEDIAN(0,$H101,1),IF($G101="Yes",1,IF($G101="Partial",0.5,0)))*$J101)</f>
        <v/>
      </c>
      <c r="L101" s="40">
        <f>IF($F101="N/A",0,$E101)</f>
        <v/>
      </c>
      <c r="M101" s="39">
        <f>$L101-$K101</f>
        <v/>
      </c>
      <c r="N101" s="38">
        <f>IF($L101=0,0,ROUND($M101/SUMIF($B$2:$B$107,$B101,$L$2:$L$107)*100*IFERROR(VLOOKUP($B101,Scorecard!$A$6:$C$12,3,FALSE),0),2))</f>
        <v/>
      </c>
      <c r="O101" s="41" t="inlineStr">
        <is>
          <t>the contract exposes payment initiation, VRP, or another mutating regulated operation</t>
        </is>
      </c>
      <c r="P101" s="42" t="inlineStr">
        <is>
          <t>The regime is actionable, not read-only. An agent that can move money on an account is a different animal from one that can only read it, and the score should say so: the UK — which mandated payment initiation — scored 87% on idempotency, where read-only Australia scored 0%.</t>
        </is>
      </c>
      <c r="Q101" s="43" t="n"/>
      <c r="R101" s="44" t="n"/>
      <c r="S101" s="43" t="n"/>
      <c r="T101" s="32" t="inlineStr">
        <is>
          <t>always</t>
        </is>
      </c>
      <c r="U101" s="32" t="inlineStr">
        <is>
          <t>banking_open_finance,payments</t>
        </is>
      </c>
      <c r="V101" s="35">
        <f>$N101-ROW()/100000</f>
        <v/>
      </c>
    </row>
    <row r="102">
      <c r="A102" s="31" t="inlineStr">
        <is>
          <t>Regulatory Posture</t>
        </is>
      </c>
      <c r="B102" s="31" t="inlineStr">
        <is>
          <t>Regulatory Posture</t>
        </is>
      </c>
      <c r="C102" s="32" t="inlineStr">
        <is>
          <t>reg_smart_configuration</t>
        </is>
      </c>
      <c r="D102" s="33" t="inlineStr">
        <is>
          <t>SMART-on-FHIR configuration served</t>
        </is>
      </c>
      <c r="E102" s="34" t="n">
        <v>6</v>
      </c>
      <c r="F102" s="35">
        <f>IF(AND($U102&lt;&gt;"",REGIME="none"),"N/A",IF(AND($U102&lt;&gt;"",$U102&lt;&gt;"any",ISERROR(SEARCH(REGIME,$U102))),"N/A",IF(VLOOKUP($T102,GATES,2,FALSE)="Yes","Yes","N/A")))</f>
        <v/>
      </c>
      <c r="G102" s="36" t="inlineStr">
        <is>
          <t>No</t>
        </is>
      </c>
      <c r="H102" s="37" t="n"/>
      <c r="I102" s="34" t="inlineStr">
        <is>
          <t>—</t>
        </is>
      </c>
      <c r="J102" s="38">
        <f>IFERROR(VLOOKUP($I102,PROV_CREDIT,2,FALSE),1)</f>
        <v/>
      </c>
      <c r="K102" s="39">
        <f>IF($F102="N/A",0,$E102*IF(ISNUMBER($H102),MEDIAN(0,$H102,1),IF($G102="Yes",1,IF($G102="Partial",0.5,0)))*$J102)</f>
        <v/>
      </c>
      <c r="L102" s="40">
        <f>IF($F102="N/A",0,$E102)</f>
        <v/>
      </c>
      <c r="M102" s="39">
        <f>$L102-$K102</f>
        <v/>
      </c>
      <c r="N102" s="38">
        <f>IF($L102=0,0,ROUND($M102/SUMIF($B$2:$B$107,$B102,$L$2:$L$107)*100*IFERROR(VLOOKUP($B102,Scorecard!$A$6:$C$12,3,FALSE),0),2))</f>
        <v/>
      </c>
      <c r="O102" s="41" t="inlineStr">
        <is>
          <t>a .well-known/smart-configuration is served, or SMART scopes are published</t>
        </is>
      </c>
      <c r="P102" s="42" t="inlineStr">
        <is>
          <t>A served `.well-known/smart-configuration` with published SMART-on-FHIR scopes. The structural finding across all four healthcare markets: the security scopes often exist, but the smart-configuration is served almost nowhere — so the check has to weight a DISCOVERABLE, consent-legible surface rather than the mere presence of scopes somewhere in prose.</t>
        </is>
      </c>
      <c r="Q102" s="43" t="n"/>
      <c r="R102" s="44" t="n"/>
      <c r="S102" s="43" t="n"/>
      <c r="T102" s="32" t="inlineStr">
        <is>
          <t>always</t>
        </is>
      </c>
      <c r="U102" s="32" t="inlineStr">
        <is>
          <t>health</t>
        </is>
      </c>
      <c r="V102" s="35">
        <f>$N102-ROW()/100000</f>
        <v/>
      </c>
    </row>
    <row r="103">
      <c r="A103" s="31" t="inlineStr">
        <is>
          <t>Regulatory Posture</t>
        </is>
      </c>
      <c r="B103" s="31" t="inlineStr">
        <is>
          <t>Regulatory Posture</t>
        </is>
      </c>
      <c r="C103" s="32" t="inlineStr">
        <is>
          <t>reg_pci_sca</t>
        </is>
      </c>
      <c r="D103" s="33" t="inlineStr">
        <is>
          <t>PCI scope and strong customer authentication</t>
        </is>
      </c>
      <c r="E103" s="34" t="n">
        <v>6</v>
      </c>
      <c r="F103" s="35">
        <f>IF(AND($U103&lt;&gt;"",REGIME="none"),"N/A",IF(AND($U103&lt;&gt;"",$U103&lt;&gt;"any",ISERROR(SEARCH(REGIME,$U103))),"N/A",IF(VLOOKUP($T103,GATES,2,FALSE)="Yes","Yes","N/A")))</f>
        <v/>
      </c>
      <c r="G103" s="36" t="inlineStr">
        <is>
          <t>No</t>
        </is>
      </c>
      <c r="H103" s="37" t="n"/>
      <c r="I103" s="34" t="inlineStr">
        <is>
          <t>—</t>
        </is>
      </c>
      <c r="J103" s="38">
        <f>IFERROR(VLOOKUP($I103,PROV_CREDIT,2,FALSE),1)</f>
        <v/>
      </c>
      <c r="K103" s="39">
        <f>IF($F103="N/A",0,$E103*IF(ISNUMBER($H103),MEDIAN(0,$H103,1),IF($G103="Yes",1,IF($G103="Partial",0.5,0)))*$J103)</f>
        <v/>
      </c>
      <c r="L103" s="40">
        <f>IF($F103="N/A",0,$E103)</f>
        <v/>
      </c>
      <c r="M103" s="39">
        <f>$L103-$K103</f>
        <v/>
      </c>
      <c r="N103" s="38">
        <f>IF($L103=0,0,ROUND($M103/SUMIF($B$2:$B$107,$B103,$L$2:$L$107)*100*IFERROR(VLOOKUP($B103,Scorecard!$A$6:$C$12,3,FALSE),0),2))</f>
        <v/>
      </c>
      <c r="O103" s="41" t="inlineStr">
        <is>
          <t>PCI-DSS attestation or scope disclosure, plus 3-D Secure / SCA support</t>
        </is>
      </c>
      <c r="P103" s="42" t="inlineStr">
        <is>
          <t>PCI-DSS attestation or scope disclosure together with strong customer authentication (3-D Secure, PSD2 SCA). The two disclosures every payments regime is built on, and the ones a merchant's own auditor will ask for first.</t>
        </is>
      </c>
      <c r="Q103" s="43" t="n"/>
      <c r="R103" s="44" t="n"/>
      <c r="S103" s="43" t="n"/>
      <c r="T103" s="32" t="inlineStr">
        <is>
          <t>always</t>
        </is>
      </c>
      <c r="U103" s="32" t="inlineStr">
        <is>
          <t>payments</t>
        </is>
      </c>
      <c r="V103" s="35">
        <f>$N103-ROW()/100000</f>
        <v/>
      </c>
    </row>
    <row r="104">
      <c r="A104" s="31" t="inlineStr">
        <is>
          <t>Regulatory Posture</t>
        </is>
      </c>
      <c r="B104" s="31" t="inlineStr">
        <is>
          <t>Regulatory Posture</t>
        </is>
      </c>
      <c r="C104" s="32" t="inlineStr">
        <is>
          <t>reg_entitlement_terms</t>
        </is>
      </c>
      <c r="D104" s="33" t="inlineStr">
        <is>
          <t>Machine-readable entitlement and redistribution terms</t>
        </is>
      </c>
      <c r="E104" s="34" t="n">
        <v>6</v>
      </c>
      <c r="F104" s="35">
        <f>IF(AND($U104&lt;&gt;"",REGIME="none"),"N/A",IF(AND($U104&lt;&gt;"",$U104&lt;&gt;"any",ISERROR(SEARCH(REGIME,$U104))),"N/A",IF(VLOOKUP($T104,GATES,2,FALSE)="Yes","Yes","N/A")))</f>
        <v/>
      </c>
      <c r="G104" s="36" t="inlineStr">
        <is>
          <t>No</t>
        </is>
      </c>
      <c r="H104" s="37" t="n"/>
      <c r="I104" s="34" t="inlineStr">
        <is>
          <t>—</t>
        </is>
      </c>
      <c r="J104" s="38">
        <f>IFERROR(VLOOKUP($I104,PROV_CREDIT,2,FALSE),1)</f>
        <v/>
      </c>
      <c r="K104" s="39">
        <f>IF($F104="N/A",0,$E104*IF(ISNUMBER($H104),MEDIAN(0,$H104,1),IF($G104="Yes",1,IF($G104="Partial",0.5,0)))*$J104)</f>
        <v/>
      </c>
      <c r="L104" s="40">
        <f>IF($F104="N/A",0,$E104)</f>
        <v/>
      </c>
      <c r="M104" s="39">
        <f>$L104-$K104</f>
        <v/>
      </c>
      <c r="N104" s="38">
        <f>IF($L104=0,0,ROUND($M104/SUMIF($B$2:$B$107,$B104,$L$2:$L$107)*100*IFERROR(VLOOKUP($B104,Scorecard!$A$6:$C$12,3,FALSE),0),2))</f>
        <v/>
      </c>
      <c r="O104" s="41" t="inlineStr">
        <is>
          <t>redistribution / entitlement / data-licensing terms published as machine-readable data</t>
        </is>
      </c>
      <c r="P104" s="42" t="inlineStr">
        <is>
          <t>Entitlement and redistribution terms in machine-readable form, plus MiFID II or exchange data-licensing disclosure. In market data the licence IS the product boundary, and a consumer who cannot read it programmatically cannot build against it safely.</t>
        </is>
      </c>
      <c r="Q104" s="43" t="n"/>
      <c r="R104" s="44" t="n"/>
      <c r="S104" s="43" t="n"/>
      <c r="T104" s="32" t="inlineStr">
        <is>
          <t>always</t>
        </is>
      </c>
      <c r="U104" s="32" t="inlineStr">
        <is>
          <t>securities_market_data</t>
        </is>
      </c>
      <c r="V104" s="35">
        <f>$N104-ROW()/100000</f>
        <v/>
      </c>
    </row>
    <row r="105">
      <c r="A105" s="31" t="inlineStr">
        <is>
          <t>Regulatory Posture</t>
        </is>
      </c>
      <c r="B105" s="31" t="inlineStr">
        <is>
          <t>Regulatory Posture</t>
        </is>
      </c>
      <c r="C105" s="32" t="inlineStr">
        <is>
          <t>reg_certification_signal</t>
        </is>
      </c>
      <c r="D105" s="33" t="inlineStr">
        <is>
          <t>Third-party certification</t>
        </is>
      </c>
      <c r="E105" s="34" t="n">
        <v>5</v>
      </c>
      <c r="F105" s="35">
        <f>IF(AND($U105&lt;&gt;"",REGIME="none"),"N/A",IF(AND($U105&lt;&gt;"",$U105&lt;&gt;"any",ISERROR(SEARCH(REGIME,$U105))),"N/A",IF(VLOOKUP($T105,GATES,2,FALSE)="Yes","Yes","N/A")))</f>
        <v/>
      </c>
      <c r="G105" s="36" t="inlineStr">
        <is>
          <t>No</t>
        </is>
      </c>
      <c r="H105" s="37" t="n"/>
      <c r="I105" s="34" t="inlineStr">
        <is>
          <t>—</t>
        </is>
      </c>
      <c r="J105" s="38">
        <f>IFERROR(VLOOKUP($I105,PROV_CREDIT,2,FALSE),1)</f>
        <v/>
      </c>
      <c r="K105" s="39">
        <f>IF($F105="N/A",0,$E105*IF(ISNUMBER($H105),MEDIAN(0,$H105,1),IF($G105="Yes",1,IF($G105="Partial",0.5,0)))*$J105)</f>
        <v/>
      </c>
      <c r="L105" s="40">
        <f>IF($F105="N/A",0,$E105)</f>
        <v/>
      </c>
      <c r="M105" s="39">
        <f>$L105-$K105</f>
        <v/>
      </c>
      <c r="N105" s="38">
        <f>IF($L105=0,0,ROUND($M105/SUMIF($B$2:$B$107,$B105,$L$2:$L$107)*100*IFERROR(VLOOKUP($B105,Scorecard!$A$6:$C$12,3,FALSE),0),2))</f>
        <v/>
      </c>
      <c r="O105" s="41" t="inlineStr">
        <is>
          <t>a public, independently-issued certification is held and discoverable</t>
        </is>
      </c>
      <c r="P105" s="42" t="inlineStr">
        <is>
          <t>A certification issued and published by somebody other than the provider. Canada runs the only public, tiered insurance API certification programme in the world (CSIO) and it was invisible to the score — its own table lists the country's largest P&amp;C insurer as Not Yet Rated while smaller competitors hold higher tiers, which is exactly the published signal a rubric should read. THE CAUTION THIS CHECK CARRIES, learned from real estate: RESO certification is real, independently tested and industry-mandated, and it is worth 2.0 points of measured difference — because all three certified organizations return 401 on the very contract they are certified against. A certification claim is credited here only alongside `servers_resolvable`; a badge for a document the consumer cannot fetch is not conformance.</t>
        </is>
      </c>
      <c r="Q105" s="43" t="n"/>
      <c r="R105" s="44" t="n"/>
      <c r="S105" s="43" t="n"/>
      <c r="T105" s="32" t="inlineStr">
        <is>
          <t>always</t>
        </is>
      </c>
      <c r="U105" s="32" t="inlineStr">
        <is>
          <t>insurance,health,energy_utilities,telecommunications</t>
        </is>
      </c>
      <c r="V105" s="35">
        <f>$N105-ROW()/100000</f>
        <v/>
      </c>
    </row>
    <row r="106">
      <c r="A106" s="31" t="inlineStr">
        <is>
          <t>Regulatory Posture</t>
        </is>
      </c>
      <c r="B106" s="31" t="inlineStr">
        <is>
          <t>Regulatory Posture</t>
        </is>
      </c>
      <c r="C106" s="32" t="inlineStr">
        <is>
          <t>reg_camara_conformance</t>
        </is>
      </c>
      <c r="D106" s="33" t="inlineStr">
        <is>
          <t>CAMARA / network-API conformance</t>
        </is>
      </c>
      <c r="E106" s="34" t="n">
        <v>6</v>
      </c>
      <c r="F106" s="35">
        <f>IF(AND($U106&lt;&gt;"",REGIME="none"),"N/A",IF(AND($U106&lt;&gt;"",$U106&lt;&gt;"any",ISERROR(SEARCH(REGIME,$U106))),"N/A",IF(VLOOKUP($T106,GATES,2,FALSE)="Yes","Yes","N/A")))</f>
        <v/>
      </c>
      <c r="G106" s="36" t="inlineStr">
        <is>
          <t>No</t>
        </is>
      </c>
      <c r="H106" s="37" t="n"/>
      <c r="I106" s="34" t="inlineStr">
        <is>
          <t>—</t>
        </is>
      </c>
      <c r="J106" s="38">
        <f>IFERROR(VLOOKUP($I106,PROV_CREDIT,2,FALSE),1)</f>
        <v/>
      </c>
      <c r="K106" s="39">
        <f>IF($F106="N/A",0,$E106*IF(ISNUMBER($H106),MEDIAN(0,$H106,1),IF($G106="Yes",1,IF($G106="Partial",0.5,0)))*$J106)</f>
        <v/>
      </c>
      <c r="L106" s="40">
        <f>IF($F106="N/A",0,$E106)</f>
        <v/>
      </c>
      <c r="M106" s="39">
        <f>$L106-$K106</f>
        <v/>
      </c>
      <c r="N106" s="38">
        <f>IF($L106=0,0,ROUND($M106/SUMIF($B$2:$B$107,$B106,$L$2:$L$107)*100*IFERROR(VLOOKUP($B106,Scorecard!$A$6:$C$12,3,FALSE),0),2))</f>
        <v/>
      </c>
      <c r="O106" s="41" t="inlineStr">
        <is>
          <t>an x-camara-commonalities version, /camara/ paths, CIBA support, or TM Forum Open API conformance</t>
        </is>
      </c>
      <c r="P106" s="42" t="inlineStr">
        <is>
          <t>Conformance to the network-API standards the sector actually built: CAMARA commonalities, the canonical API definitions, CIBA (the backchannel authentication flow CAMARA specifies for network authorization, found in 3 of 19 standards repositories and absent from both specs of the one exposure platform with a callable endpoint), and TM Forum Open API conformance — held widely by carriers who publish no network API at all.</t>
        </is>
      </c>
      <c r="Q106" s="43" t="n"/>
      <c r="R106" s="44" t="n"/>
      <c r="S106" s="43" t="n"/>
      <c r="T106" s="32" t="inlineStr">
        <is>
          <t>always</t>
        </is>
      </c>
      <c r="U106" s="32" t="inlineStr">
        <is>
          <t>telecommunications</t>
        </is>
      </c>
      <c r="V106" s="35">
        <f>$N106-ROW()/100000</f>
        <v/>
      </c>
    </row>
    <row r="107">
      <c r="A107" s="31" t="inlineStr">
        <is>
          <t>Regulatory Posture</t>
        </is>
      </c>
      <c r="B107" s="31" t="inlineStr">
        <is>
          <t>Regulatory Posture</t>
        </is>
      </c>
      <c r="C107" s="32" t="inlineStr">
        <is>
          <t>reg_mandate_verified</t>
        </is>
      </c>
      <c r="D107" s="33" t="inlineStr">
        <is>
          <t>Mandate implemented, not merely claimed</t>
        </is>
      </c>
      <c r="E107" s="34" t="n">
        <v>8</v>
      </c>
      <c r="F107" s="35">
        <f>IF(AND($U107&lt;&gt;"",REGIME="none"),"N/A",IF(AND($U107&lt;&gt;"",$U107&lt;&gt;"any",ISERROR(SEARCH(REGIME,$U107))),"N/A",IF(VLOOKUP($T107,GATES,2,FALSE)="Yes","Yes","N/A")))</f>
        <v/>
      </c>
      <c r="G107" s="36" t="inlineStr">
        <is>
          <t>No</t>
        </is>
      </c>
      <c r="H107" s="37" t="n"/>
      <c r="I107" s="34" t="inlineStr">
        <is>
          <t>—</t>
        </is>
      </c>
      <c r="J107" s="38">
        <f>IFERROR(VLOOKUP($I107,PROV_CREDIT,2,FALSE),1)</f>
        <v/>
      </c>
      <c r="K107" s="39">
        <f>IF($F107="N/A",0,$E107*IF(ISNUMBER($H107),MEDIAN(0,$H107,1),IF($G107="Yes",1,IF($G107="Partial",0.5,0)))*$J107)</f>
        <v/>
      </c>
      <c r="L107" s="40">
        <f>IF($F107="N/A",0,$E107)</f>
        <v/>
      </c>
      <c r="M107" s="39">
        <f>$L107-$K107</f>
        <v/>
      </c>
      <c r="N107" s="38">
        <f>IF($L107=0,0,ROUND($M107/SUMIF($B$2:$B$107,$B107,$L$2:$L$107)*100*IFERROR(VLOOKUP($B107,Scorecard!$A$6:$C$12,3,FALSE),0),2))</f>
        <v/>
      </c>
      <c r="O107" s="41" t="inlineStr">
        <is>
          <t>the mandated surface is evidenced by a resolvable endpoint, register entry or conformant discovery document — not by a compliance page</t>
        </is>
      </c>
      <c r="P107" s="42" t="inlineStr">
        <is>
          <t>THE LARGEST UNMEASURED EFFECT IN THE CATALOG, and the reason it lands in 0.6 rather than waiting. Across 95 energy organizations scored on a deliberately ruthless mandate ladder, a VERIFIED mandate was worth about twelve points of composite — live-implemented 42.2 against not-applicable 36.6 — while a CLAIMED-but-unverifiable mandate scored 30.4, BELOW the 30.2 of organizations under no obligation at all. That second number is the finding. Self-declared compliance is not merely uninformative, it is NEGATIVE signal, and any assessment that reads compliance pages instead of calling endpoints will rank the field backwards at the top. Compare RESO in real estate at 2.0 points: same question, two sectors, a six-fold difference in effect, because one mandate came with a public register and conformant discovery endpoints and the other came with a badge. The failure mode is already live here: two Ontario utilities present as Green Button compliant and cannot be verified, one because its onboarding host returns HTTP 200 for every path including invented ones, being a single-page-app catch-all. Without a verification state that provider scores as compliant.</t>
        </is>
      </c>
      <c r="Q107" s="43" t="n"/>
      <c r="R107" s="44" t="n"/>
      <c r="S107" s="43" t="n"/>
      <c r="T107" s="32" t="inlineStr">
        <is>
          <t>always</t>
        </is>
      </c>
      <c r="U107" s="32" t="inlineStr">
        <is>
          <t>banking_open_finance,energy_utilities,health</t>
        </is>
      </c>
      <c r="V107" s="35">
        <f>$N107-ROW()/100000</f>
        <v/>
      </c>
    </row>
  </sheetData>
  <autoFilter ref="A1:S107"/>
  <conditionalFormatting sqref="F2:F107">
    <cfRule type="cellIs" priority="1" operator="equal" dxfId="0">
      <formula>"N/A"</formula>
    </cfRule>
  </conditionalFormatting>
  <conditionalFormatting sqref="G2:G107">
    <cfRule type="cellIs" priority="2" operator="equal" dxfId="1">
      <formula>"Yes"</formula>
    </cfRule>
  </conditionalFormatting>
  <dataValidations count="2">
    <dataValidation sqref="G2:G107" showDropDown="0" showInputMessage="0" showErrorMessage="0" allowBlank="0" type="list">
      <formula1>"Yes,Partial,No"</formula1>
    </dataValidation>
    <dataValidation sqref="I2:I107" showDropDown="0" showInputMessage="0" showErrorMessage="0" allowBlank="1" type="list">
      <formula1>"—,first-party,conformance,derived,unknown"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1"/>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7" customWidth="1" min="3" max="3"/>
    <col width="34" customWidth="1" min="4" max="4"/>
    <col width="14" customWidth="1" min="5" max="5"/>
    <col hidden="1" width="9" customWidth="1" min="6" max="6"/>
    <col width="13" customWidth="1" min="7" max="7"/>
    <col width="8" customWidth="1" min="8" max="8"/>
    <col width="9" customWidth="1" min="9" max="9"/>
    <col width="8" customWidth="1" min="10" max="10"/>
    <col width="7" customWidth="1" min="11" max="11"/>
    <col width="60" customWidth="1" min="12" max="12"/>
    <col width="76" customWidth="1" min="13" max="13"/>
    <col width="14" customWidth="1" min="14" max="14"/>
    <col width="12" customWidth="1" min="15" max="15"/>
    <col width="34" customWidth="1" min="16" max="16"/>
  </cols>
  <sheetData>
    <row r="1">
      <c r="A1" s="5" t="inlineStr">
        <is>
          <t>Agent Readiness</t>
        </is>
      </c>
    </row>
    <row r="2">
      <c r="A2" s="25" t="inlineStr">
        <is>
          <t>Score (0–100)</t>
        </is>
      </c>
      <c r="C2" s="5">
        <f>IF(SUM($C$7:$C$20)=0,0,ROUND(SUM($J$7:$J$20)/SUM($C$7:$C$20)*100,1))</f>
        <v/>
      </c>
    </row>
    <row r="3">
      <c r="A3" s="25" t="inlineStr">
        <is>
          <t>Band</t>
        </is>
      </c>
      <c r="C3" s="7">
        <f>IF(AND(IF($C$2&gt;=46,"Agent-Native",IF($C$2&gt;=34,"Agent-Ready",IF($C$2&gt;=6,"Agent-Aware","Human-Only")))="Agent-Native",OR($H11=0,$H12=0)),"Agent-Ready",IF($C$2&gt;=46,"Agent-Native",IF($C$2&gt;=34,"Agent-Ready",IF($C$2&gt;=6,"Agent-Aware","Human-Only"))))</f>
        <v/>
      </c>
    </row>
    <row r="4">
      <c r="A4" s="6" t="inlineStr">
        <is>
          <t>How safely an autonomous AI agent — not just a human developer — can drive this API. Measures machine-readable contracts, agent-native access controls, and the operational signals (idempotency, stable errors, rate-limit state) an agent needs to act without a human papering over the gaps.</t>
        </is>
      </c>
    </row>
    <row r="5">
      <c r="A5" s="6" t="inlineStr">
        <is>
          <t>Band gate: Agent-Native is withheld unless idempotency AND stable error semantics both score. Every dimension is always in the denominator — unlike the composite, a missing contract here is a real deficiency, not an N/A.</t>
        </is>
      </c>
    </row>
    <row r="6" ht="28" customHeight="1">
      <c r="A6" s="14" t="inlineStr">
        <is>
          <t>Dimension</t>
        </is>
      </c>
      <c r="B6" s="14" t="inlineStr">
        <is>
          <t>ID</t>
        </is>
      </c>
      <c r="C6" s="14" t="inlineStr">
        <is>
          <t>Points</t>
        </is>
      </c>
      <c r="D6" s="14" t="inlineStr">
        <is>
          <t>Grades available</t>
        </is>
      </c>
      <c r="E6" s="14" t="inlineStr">
        <is>
          <t>Your grade</t>
        </is>
      </c>
      <c r="F6" s="14" t="inlineStr">
        <is>
          <t>Documented credit</t>
        </is>
      </c>
      <c r="G6" s="14" t="inlineStr">
        <is>
          <t>Authorship</t>
        </is>
      </c>
      <c r="H6" s="14" t="inlineStr">
        <is>
          <t>Credit</t>
        </is>
      </c>
      <c r="I6" s="14" t="inlineStr">
        <is>
          <t>Prov. credit</t>
        </is>
      </c>
      <c r="J6" s="14" t="inlineStr">
        <is>
          <t>Earned</t>
        </is>
      </c>
      <c r="K6" s="14" t="inlineStr">
        <is>
          <t>Gap</t>
        </is>
      </c>
      <c r="L6" s="14" t="inlineStr">
        <is>
          <t>What the scorer looks for</t>
        </is>
      </c>
      <c r="M6" s="14" t="inlineStr">
        <is>
          <t>Why it matters</t>
        </is>
      </c>
      <c r="N6" s="14" t="inlineStr">
        <is>
          <t>Owner</t>
        </is>
      </c>
      <c r="O6" s="14" t="inlineStr">
        <is>
          <t>Target</t>
        </is>
      </c>
      <c r="P6" s="14" t="inlineStr">
        <is>
          <t>Notes</t>
        </is>
      </c>
    </row>
    <row r="7">
      <c r="A7" s="33" t="inlineStr">
        <is>
          <t>Machine-Readable Contract</t>
        </is>
      </c>
      <c r="B7" s="32" t="inlineStr">
        <is>
          <t>spec_presence</t>
        </is>
      </c>
      <c r="C7" s="40" t="n">
        <v>18</v>
      </c>
      <c r="D7" s="45" t="inlineStr">
        <is>
          <t>no, yes</t>
        </is>
      </c>
      <c r="E7" s="46" t="inlineStr">
        <is>
          <t>no</t>
        </is>
      </c>
      <c r="F7" s="47" t="n">
        <v>0</v>
      </c>
      <c r="G7" s="40" t="inlineStr">
        <is>
          <t>—</t>
        </is>
      </c>
      <c r="H7" s="38">
        <f>IF($E7="no",0,IF(OR($E7="yes",$E7="verified",$E7="conformant"),1,IF($E7="near-conformant",0.6,IF($E7="partial",0.5,IF($E7="documented",$F7,IF($E7="flavored",0.25,0))))))</f>
        <v/>
      </c>
      <c r="I7" s="38">
        <f>IFERROR(VLOOKUP($G7,PROV_CREDIT,2,FALSE),1)</f>
        <v/>
      </c>
      <c r="J7" s="39">
        <f>$C7*$H7*$I7</f>
        <v/>
      </c>
      <c r="K7" s="39">
        <f>$C7-$J7</f>
        <v/>
      </c>
      <c r="L7" s="41" t="inlineStr">
        <is>
          <t>api_specs includes an OpenAPI document</t>
        </is>
      </c>
      <c r="M7" s="42" t="inlineStr">
        <is>
          <t>A public OpenAPI contract exists. Agents call APIs from contracts, not HTML docs — with no spec there is no programmatic surface to drive, which is why this is the single largest award.</t>
        </is>
      </c>
      <c r="N7" s="43" t="n"/>
      <c r="O7" s="44" t="n"/>
      <c r="P7" s="43" t="n"/>
    </row>
    <row r="8">
      <c r="A8" s="33" t="inlineStr">
        <is>
          <t>Agentic Access Contract</t>
        </is>
      </c>
      <c r="B8" s="32" t="inlineStr">
        <is>
          <t>agentic_access</t>
        </is>
      </c>
      <c r="C8" s="40" t="n">
        <v>10</v>
      </c>
      <c r="D8" s="45" t="inlineStr">
        <is>
          <t>no, yes</t>
        </is>
      </c>
      <c r="E8" s="46" t="inlineStr">
        <is>
          <t>no</t>
        </is>
      </c>
      <c r="F8" s="47" t="n">
        <v>0</v>
      </c>
      <c r="G8" s="46" t="inlineStr">
        <is>
          <t>first-party</t>
        </is>
      </c>
      <c r="H8" s="38">
        <f>IF($E8="no",0,IF(OR($E8="yes",$E8="verified",$E8="conformant"),1,IF($E8="near-conformant",0.6,IF($E8="partial",0.5,IF($E8="documented",$F8,IF($E8="flavored",0.25,0))))))</f>
        <v/>
      </c>
      <c r="I8" s="38">
        <f>IFERROR(VLOOKUP($G8,PROV_CREDIT,2,FALSE),1)</f>
        <v/>
      </c>
      <c r="J8" s="39">
        <f>$C8*$H8*$I8</f>
        <v/>
      </c>
      <c r="K8" s="39">
        <f>$C8-$J8</f>
        <v/>
      </c>
      <c r="L8" s="41" t="inlineStr">
        <is>
          <t>agentic_access artifact present (x-agentic-access), graded by author</t>
        </is>
      </c>
      <c r="M8" s="42" t="inlineStr">
        <is>
          <t>The provider publishes an x-agentic-access contract classifying each operation by action-class, consequence, and human-in-the-loop escalation. The most explicit "this API was designed to be driven by an agent" signal in the catalog — when the provider publishes it. A derived classification keeps a floor: it is a real artifact an agent can fetch and act on, it is simply not evidence about the provider's design intent.</t>
        </is>
      </c>
      <c r="N8" s="43" t="n"/>
      <c r="O8" s="44" t="n"/>
      <c r="P8" s="43" t="n"/>
    </row>
    <row r="9">
      <c r="A9" s="33" t="inlineStr">
        <is>
          <t>MCP Server</t>
        </is>
      </c>
      <c r="B9" s="32" t="inlineStr">
        <is>
          <t>mcp_server</t>
        </is>
      </c>
      <c r="C9" s="40" t="n">
        <v>12</v>
      </c>
      <c r="D9" s="45" t="inlineStr">
        <is>
          <t>no, yes</t>
        </is>
      </c>
      <c r="E9" s="46" t="inlineStr">
        <is>
          <t>no</t>
        </is>
      </c>
      <c r="F9" s="47" t="n">
        <v>0</v>
      </c>
      <c r="G9" s="46" t="inlineStr">
        <is>
          <t>first-party</t>
        </is>
      </c>
      <c r="H9" s="38">
        <f>IF($E9="no",0,IF(OR($E9="yes",$E9="verified",$E9="conformant"),1,IF($E9="near-conformant",0.6,IF($E9="partial",0.5,IF($E9="documented",$F9,IF($E9="flavored",0.25,0))))))</f>
        <v/>
      </c>
      <c r="I9" s="38">
        <f>IFERROR(VLOOKUP($G9,PROV_CREDIT,2,FALSE),1)</f>
        <v/>
      </c>
      <c r="J9" s="39">
        <f>$C9*$H9*$I9</f>
        <v/>
      </c>
      <c r="K9" s="39">
        <f>$C9-$J9</f>
        <v/>
      </c>
      <c r="L9" s="41" t="inlineStr">
        <is>
          <t>common[].type includes MCPServer, graded by whether the provider runs it</t>
        </is>
      </c>
      <c r="M9" s="42" t="inlineStr">
        <is>
          <t>A Model Context Protocol server makes the API directly callable by agents over a uniform tool surface — the most direct expression of agent-first design. PROVENANCE-GRADED IN 0.6. Across four national banking markets exactly one institution ran a genuinely hosted MCP; in UK insurance the data credited 14.3% of the cohort and the real number was zero. Catalog-wide, 1,882 of 3,046 MCP artifacts are derived candidates with no URL. Twelve points is the third-largest award in this model and it was being paid, more often than not, for a server nobody can connect to.</t>
        </is>
      </c>
      <c r="N9" s="43" t="n"/>
      <c r="O9" s="44" t="n"/>
      <c r="P9" s="43" t="n"/>
    </row>
    <row r="10">
      <c r="A10" s="33" t="inlineStr">
        <is>
          <t>Machine-Readable Auth</t>
        </is>
      </c>
      <c r="B10" s="32" t="inlineStr">
        <is>
          <t>auth_clarity</t>
        </is>
      </c>
      <c r="C10" s="40" t="n">
        <v>10</v>
      </c>
      <c r="D10" s="45" t="inlineStr">
        <is>
          <t>no, yes</t>
        </is>
      </c>
      <c r="E10" s="46" t="inlineStr">
        <is>
          <t>no</t>
        </is>
      </c>
      <c r="F10" s="47" t="n">
        <v>0</v>
      </c>
      <c r="G10" s="40" t="inlineStr">
        <is>
          <t>—</t>
        </is>
      </c>
      <c r="H10" s="38">
        <f>IF($E10="no",0,IF(OR($E10="yes",$E10="verified",$E10="conformant"),1,IF($E10="near-conformant",0.6,IF($E10="partial",0.5,IF($E10="documented",$F10,IF($E10="flavored",0.25,0))))))</f>
        <v/>
      </c>
      <c r="I10" s="38">
        <f>IFERROR(VLOOKUP($G10,PROV_CREDIT,2,FALSE),1)</f>
        <v/>
      </c>
      <c r="J10" s="39">
        <f>$C10*$H10*$I10</f>
        <v/>
      </c>
      <c r="K10" s="39">
        <f>$C10-$J10</f>
        <v/>
      </c>
      <c r="L10" s="41" t="inlineStr">
        <is>
          <t>common[].type includes Authentication, OpenIDConnect, OAuthScopes, or API Keys</t>
        </is>
      </c>
      <c r="M10" s="42" t="inlineStr">
        <is>
          <t>The authentication model is documented in a form an agent can negotiate without reading prose — OIDC discovery, declared scopes, or OpenAPI security schemes.</t>
        </is>
      </c>
      <c r="N10" s="43" t="n"/>
      <c r="O10" s="44" t="n"/>
      <c r="P10" s="43" t="n"/>
    </row>
    <row r="11">
      <c r="A11" s="33" t="inlineStr">
        <is>
          <t>Idempotency</t>
        </is>
      </c>
      <c r="B11" s="32" t="inlineStr">
        <is>
          <t>idempotency</t>
        </is>
      </c>
      <c r="C11" s="40" t="n">
        <v>9</v>
      </c>
      <c r="D11" s="45" t="inlineStr">
        <is>
          <t>no, verified, documented</t>
        </is>
      </c>
      <c r="E11" s="46" t="inlineStr">
        <is>
          <t>no</t>
        </is>
      </c>
      <c r="F11" s="47" t="n">
        <v>0.5</v>
      </c>
      <c r="G11" s="40" t="inlineStr">
        <is>
          <t>—</t>
        </is>
      </c>
      <c r="H11" s="38">
        <f>IF($E11="no",0,IF(OR($E11="yes",$E11="verified",$E11="conformant"),1,IF($E11="near-conformant",0.6,IF($E11="partial",0.5,IF($E11="documented",$F11,IF($E11="flavored",0.25,0))))))</f>
        <v/>
      </c>
      <c r="I11" s="38">
        <f>IFERROR(VLOOKUP($G11,PROV_CREDIT,2,FALSE),1)</f>
        <v/>
      </c>
      <c r="J11" s="39">
        <f>$C11*$H11*$I11</f>
        <v/>
      </c>
      <c r="K11" s="39">
        <f>$C11-$J11</f>
        <v/>
      </c>
      <c r="L11" s="41" t="inlineStr">
        <is>
          <t>OpenAPI mutating operations declare an Idempotency-Key header (verified), else common[].type matches /idempoten/i (documented)</t>
        </is>
      </c>
      <c r="M11" s="42" t="inlineStr">
        <is>
          <t>Mutating operations accept an idempotency key. Agents retry; without idempotency a retry double-charges a card, sends a message twice, or opens a duplicate ticket. Full credit requires the parameter to appear on POST / PATCH / PUT operations in the contract — the difference between a provider saying they support it and a contract an agent can act on.</t>
        </is>
      </c>
      <c r="N11" s="43" t="n"/>
      <c r="O11" s="44" t="n"/>
      <c r="P11" s="43" t="n"/>
    </row>
    <row r="12">
      <c r="A12" s="33" t="inlineStr">
        <is>
          <t>Stable Error Semantics</t>
        </is>
      </c>
      <c r="B12" s="32" t="inlineStr">
        <is>
          <t>error_semantics</t>
        </is>
      </c>
      <c r="C12" s="40" t="n">
        <v>8</v>
      </c>
      <c r="D12" s="45" t="inlineStr">
        <is>
          <t>no, verified, documented</t>
        </is>
      </c>
      <c r="E12" s="46" t="inlineStr">
        <is>
          <t>no</t>
        </is>
      </c>
      <c r="F12" s="47" t="n">
        <v>0.5</v>
      </c>
      <c r="G12" s="40" t="inlineStr">
        <is>
          <t>—</t>
        </is>
      </c>
      <c r="H12" s="38">
        <f>IF($E12="no",0,IF(OR($E12="yes",$E12="verified",$E12="conformant"),1,IF($E12="near-conformant",0.6,IF($E12="partial",0.5,IF($E12="documented",$F12,IF($E12="flavored",0.25,0))))))</f>
        <v/>
      </c>
      <c r="I12" s="38">
        <f>IFERROR(VLOOKUP($G12,PROV_CREDIT,2,FALSE),1)</f>
        <v/>
      </c>
      <c r="J12" s="39">
        <f>$C12*$H12*$I12</f>
        <v/>
      </c>
      <c r="K12" s="39">
        <f>$C12-$J12</f>
        <v/>
      </c>
      <c r="L12" s="41" t="inlineStr">
        <is>
          <t>OpenAPI $refs a shared error schema across 4xx/5xx responses (verified), else common[].type includes ErrorCatalog / ErrorCodes / DeclineCodes</t>
        </is>
      </c>
      <c r="M12" s="42" t="inlineStr">
        <is>
          <t>Errors are a documented, stable envelope with stable codes. Agents branch on errors — free-text messages break that branching and send an agent into blind retries. Full credit requires a single error schema referenced across error responses: a typed envelope, not a catalogue of codes in a table.</t>
        </is>
      </c>
      <c r="N12" s="43" t="n"/>
      <c r="O12" s="44" t="n"/>
      <c r="P12" s="43" t="n"/>
    </row>
    <row r="13">
      <c r="A13" s="33" t="inlineStr">
        <is>
          <t>Request/Response Examples</t>
        </is>
      </c>
      <c r="B13" s="32" t="inlineStr">
        <is>
          <t>openapi_examples</t>
        </is>
      </c>
      <c r="C13" s="40" t="n">
        <v>7</v>
      </c>
      <c r="D13" s="45" t="inlineStr">
        <is>
          <t>no, verified, partial, documented</t>
        </is>
      </c>
      <c r="E13" s="46" t="inlineStr">
        <is>
          <t>no</t>
        </is>
      </c>
      <c r="F13" s="47" t="n">
        <v>0.25</v>
      </c>
      <c r="G13" s="40" t="inlineStr">
        <is>
          <t>—</t>
        </is>
      </c>
      <c r="H13" s="38">
        <f>IF($E13="no",0,IF(OR($E13="yes",$E13="verified",$E13="conformant"),1,IF($E13="near-conformant",0.6,IF($E13="partial",0.5,IF($E13="documented",$F13,IF($E13="flavored",0.25,0))))))</f>
        <v/>
      </c>
      <c r="I13" s="38">
        <f>IFERROR(VLOOKUP($G13,PROV_CREDIT,2,FALSE),1)</f>
        <v/>
      </c>
      <c r="J13" s="39">
        <f>$C13*$H13*$I13</f>
        <v/>
      </c>
      <c r="K13" s="39">
        <f>$C13-$J13</f>
        <v/>
      </c>
      <c r="L13" s="41" t="inlineStr">
        <is>
          <t>share of operations carrying request/response examples; else an Examples / Code Samples link</t>
        </is>
      </c>
      <c r="M13" s="42" t="inlineStr">
        <is>
          <t>Meaningful examples are published. Examples are the cheapest way an agent learns a payload shape before it ever makes a call. Graded in 0.6 because as a bit it ran at roughly 0% across payments and healthcare and discriminated between nobody: full credit at 50%+ of operations carrying an example, half below that, a quarter for a documentation link alone.</t>
        </is>
      </c>
      <c r="N13" s="43" t="n"/>
      <c r="O13" s="44" t="n"/>
      <c r="P13" s="43" t="n"/>
    </row>
    <row r="14">
      <c r="A14" s="33" t="inlineStr">
        <is>
          <t>Rate-Limit Signaling</t>
        </is>
      </c>
      <c r="B14" s="32" t="inlineStr">
        <is>
          <t>rate_limit_signal</t>
        </is>
      </c>
      <c r="C14" s="40" t="n">
        <v>7</v>
      </c>
      <c r="D14" s="45" t="inlineStr">
        <is>
          <t>no, verified, documented</t>
        </is>
      </c>
      <c r="E14" s="46" t="inlineStr">
        <is>
          <t>no</t>
        </is>
      </c>
      <c r="F14" s="47" t="n">
        <v>0.5</v>
      </c>
      <c r="G14" s="40" t="inlineStr">
        <is>
          <t>—</t>
        </is>
      </c>
      <c r="H14" s="38">
        <f>IF($E14="no",0,IF(OR($E14="yes",$E14="verified",$E14="conformant"),1,IF($E14="near-conformant",0.6,IF($E14="partial",0.5,IF($E14="documented",$F14,IF($E14="flavored",0.25,0))))))</f>
        <v/>
      </c>
      <c r="I14" s="38">
        <f>IFERROR(VLOOKUP($G14,PROV_CREDIT,2,FALSE),1)</f>
        <v/>
      </c>
      <c r="J14" s="39">
        <f>$C14*$H14*$I14</f>
        <v/>
      </c>
      <c r="K14" s="39">
        <f>$C14-$J14</f>
        <v/>
      </c>
      <c r="L14" s="41" t="inlineStr">
        <is>
          <t>OpenAPI responses document X-RateLimit-* / RateLimit headers (verified), else a rate_limits artifact or RateLimits link (documented)</t>
        </is>
      </c>
      <c r="M14" s="42" t="inlineStr">
        <is>
          <t>Rate-limit behaviour is documented as machine-readable data. An agent needs to know when to back off; "you will get a 429 eventually" is not something it can plan against. Full credit requires the API to surface live rate-limit state in RESPONSE HEADERS, which is what an agent reads mid-run — documented limits tell it the ceiling, headers tell it where it is.</t>
        </is>
      </c>
      <c r="N14" s="43" t="n"/>
      <c r="O14" s="44" t="n"/>
      <c r="P14" s="43" t="n"/>
    </row>
    <row r="15">
      <c r="A15" s="33" t="inlineStr">
        <is>
          <t>Typed Event Surface</t>
        </is>
      </c>
      <c r="B15" s="32" t="inlineStr">
        <is>
          <t>event_surface_described</t>
        </is>
      </c>
      <c r="C15" s="40" t="n">
        <v>6</v>
      </c>
      <c r="D15" s="45" t="inlineStr">
        <is>
          <t>no, yes</t>
        </is>
      </c>
      <c r="E15" s="46" t="inlineStr">
        <is>
          <t>no</t>
        </is>
      </c>
      <c r="F15" s="47" t="n">
        <v>0</v>
      </c>
      <c r="G15" s="46" t="inlineStr">
        <is>
          <t>first-party</t>
        </is>
      </c>
      <c r="H15" s="38">
        <f>IF($E15="no",0,IF(OR($E15="yes",$E15="verified",$E15="conformant"),1,IF($E15="near-conformant",0.6,IF($E15="partial",0.5,IF($E15="documented",$F15,IF($E15="flavored",0.25,0))))))</f>
        <v/>
      </c>
      <c r="I15" s="38">
        <f>IFERROR(VLOOKUP($G15,PROV_CREDIT,2,FALSE),1)</f>
        <v/>
      </c>
      <c r="J15" s="39">
        <f>$C15*$H15*$I15</f>
        <v/>
      </c>
      <c r="K15" s="39">
        <f>$C15-$J15</f>
        <v/>
      </c>
      <c r="L15" s="41" t="inlineStr">
        <is>
          <t>AsyncAPI document, OR webhooks/callbacks objects in the as-published OpenAPI, OR common[].type includes Webhooks</t>
        </is>
      </c>
      <c r="M15" s="42" t="inlineStr">
        <is>
          <t>Event and webhook surfaces are described by a contract, so an agent that must react to state changes has a typed surface rather than example payloads. RENAMED AND WIDENED IN 0.9 — it was `asyncapi_events` and read only the asyncapi/ directory, which named the artifact rather than the capability and scored a provider false for describing their events the other legal way. A webhook can be described in OpenAPI: 3.1 added a top-level `webhooks` object and `callbacks` predates it. In this catalog 125 providers do exactly that — 87 via `webhooks` across 2,218 events, 39 via `callbacks` — against ZERO who publish AsyncAPI. Both count, equally: the dimension asks whether an agent can read the event surface, not which specification the provider chose to write it in.</t>
        </is>
      </c>
      <c r="N15" s="43" t="n"/>
      <c r="O15" s="44" t="n"/>
      <c r="P15" s="43" t="n"/>
    </row>
    <row r="16">
      <c r="A16" s="33" t="inlineStr">
        <is>
          <t>Agent Skills</t>
        </is>
      </c>
      <c r="B16" s="32" t="inlineStr">
        <is>
          <t>agent_skills</t>
        </is>
      </c>
      <c r="C16" s="40" t="n">
        <v>5</v>
      </c>
      <c r="D16" s="45" t="inlineStr">
        <is>
          <t>no, yes</t>
        </is>
      </c>
      <c r="E16" s="46" t="inlineStr">
        <is>
          <t>no</t>
        </is>
      </c>
      <c r="F16" s="47" t="n">
        <v>0</v>
      </c>
      <c r="G16" s="46" t="inlineStr">
        <is>
          <t>first-party</t>
        </is>
      </c>
      <c r="H16" s="38">
        <f>IF($E16="no",0,IF(OR($E16="yes",$E16="verified",$E16="conformant"),1,IF($E16="near-conformant",0.6,IF($E16="partial",0.5,IF($E16="documented",$F16,IF($E16="flavored",0.25,0))))))</f>
        <v/>
      </c>
      <c r="I16" s="38">
        <f>IFERROR(VLOOKUP($G16,PROV_CREDIT,2,FALSE),1)</f>
        <v/>
      </c>
      <c r="J16" s="39">
        <f>$C16*$H16*$I16</f>
        <v/>
      </c>
      <c r="K16" s="39">
        <f>$C16-$J16</f>
        <v/>
      </c>
      <c r="L16" s="41" t="inlineStr">
        <is>
          <t>skills artifact present, graded by who authored it</t>
        </is>
      </c>
      <c r="M16" s="42" t="inlineStr">
        <is>
          <t>Packaged operating instructions an agent should follow when using the API, rather than leaving usage to be inferred from the spec. PROVENANCE-GRADED IN 0.6: 2,018 of 2,274 skill sets in the catalog are API-Evangelist-generated. In UK insurance all 27 were; across all of telecom, provider-published agent skills exist at exactly three companies.</t>
        </is>
      </c>
      <c r="N16" s="43" t="n"/>
      <c r="O16" s="44" t="n"/>
      <c r="P16" s="43" t="n"/>
    </row>
    <row r="17">
      <c r="A17" s="33" t="inlineStr">
        <is>
          <t>Well-Known Catalog</t>
        </is>
      </c>
      <c r="B17" s="32" t="inlineStr">
        <is>
          <t>well_known_catalog</t>
        </is>
      </c>
      <c r="C17" s="40" t="n">
        <v>4</v>
      </c>
      <c r="D17" s="45" t="inlineStr">
        <is>
          <t>no, yes</t>
        </is>
      </c>
      <c r="E17" s="46" t="inlineStr">
        <is>
          <t>no</t>
        </is>
      </c>
      <c r="F17" s="47" t="n">
        <v>0</v>
      </c>
      <c r="G17" s="40" t="inlineStr">
        <is>
          <t>—</t>
        </is>
      </c>
      <c r="H17" s="38">
        <f>IF($E17="no",0,IF(OR($E17="yes",$E17="verified",$E17="conformant"),1,IF($E17="near-conformant",0.6,IF($E17="partial",0.5,IF($E17="documented",$F17,IF($E17="flavored",0.25,0))))))</f>
        <v/>
      </c>
      <c r="I17" s="38">
        <f>IFERROR(VLOOKUP($G17,PROV_CREDIT,2,FALSE),1)</f>
        <v/>
      </c>
      <c r="J17" s="39">
        <f>$C17*$H17*$I17</f>
        <v/>
      </c>
      <c r="K17" s="39">
        <f>$C17-$J17</f>
        <v/>
      </c>
      <c r="L17" s="41" t="inlineStr">
        <is>
          <t>common[].type includes WellKnown, APICatalog, or api-catalog</t>
        </is>
      </c>
      <c r="M17" s="42" t="inlineStr">
        <is>
          <t>A /.well-known/api-catalog (RFC 9727) linkset — the canonical machine entrypoint an agent hits first to discover the provider's APIs and MCP endpoints.</t>
        </is>
      </c>
      <c r="N17" s="43" t="n"/>
      <c r="O17" s="44" t="n"/>
      <c r="P17" s="43" t="n"/>
    </row>
    <row r="18">
      <c r="A18" s="33" t="inlineStr">
        <is>
          <t>Consent &amp; Bot Identity</t>
        </is>
      </c>
      <c r="B18" s="32" t="inlineStr">
        <is>
          <t>consent_identity</t>
        </is>
      </c>
      <c r="C18" s="40" t="n">
        <v>3</v>
      </c>
      <c r="D18" s="45" t="inlineStr">
        <is>
          <t>no, yes</t>
        </is>
      </c>
      <c r="E18" s="46" t="inlineStr">
        <is>
          <t>no</t>
        </is>
      </c>
      <c r="F18" s="47" t="n">
        <v>0</v>
      </c>
      <c r="G18" s="40" t="inlineStr">
        <is>
          <t>—</t>
        </is>
      </c>
      <c r="H18" s="38">
        <f>IF($E18="no",0,IF(OR($E18="yes",$E18="verified",$E18="conformant"),1,IF($E18="near-conformant",0.6,IF($E18="partial",0.5,IF($E18="documented",$F18,IF($E18="flavored",0.25,0))))))</f>
        <v/>
      </c>
      <c r="I18" s="38">
        <f>IFERROR(VLOOKUP($G18,PROV_CREDIT,2,FALSE),1)</f>
        <v/>
      </c>
      <c r="J18" s="39">
        <f>$C18*$H18*$I18</f>
        <v/>
      </c>
      <c r="K18" s="39">
        <f>$C18-$J18</f>
        <v/>
      </c>
      <c r="L18" s="41" t="inlineStr">
        <is>
          <t>common[].type includes AIPREF, ContentSignal, WebBotAuth, HTTPMessageSignatures, or SecurityTxt</t>
        </is>
      </c>
      <c r="M18" s="42" t="inlineStr">
        <is>
          <t>Forward-looking signals for machine-readable AI usage preferences (AIPREF, Content-Signals) and cryptographically identified agent traffic (Web Bot Auth / RFC 9421). Rare today; rewards the providers defining the frontier.</t>
        </is>
      </c>
      <c r="N18" s="43" t="n"/>
      <c r="O18" s="44" t="n"/>
      <c r="P18" s="43" t="n"/>
    </row>
    <row r="19">
      <c r="A19" s="33" t="inlineStr">
        <is>
          <t>A2A Agent Card</t>
        </is>
      </c>
      <c r="B19" s="32" t="inlineStr">
        <is>
          <t>agent_card</t>
        </is>
      </c>
      <c r="C19" s="40" t="n">
        <v>8</v>
      </c>
      <c r="D19" s="45" t="inlineStr">
        <is>
          <t>no, conformant, near-conformant, flavored, invalid</t>
        </is>
      </c>
      <c r="E19" s="46" t="inlineStr">
        <is>
          <t>no</t>
        </is>
      </c>
      <c r="F19" s="47" t="n">
        <v>0.5</v>
      </c>
      <c r="G19" s="40" t="inlineStr">
        <is>
          <t>—</t>
        </is>
      </c>
      <c r="H19" s="38">
        <f>IF($E19="no",0,IF(OR($E19="yes",$E19="verified",$E19="conformant"),1,IF($E19="near-conformant",0.6,IF($E19="partial",0.5,IF($E19="documented",$F19,IF($E19="flavored",0.25,0))))))</f>
        <v/>
      </c>
      <c r="I19" s="38">
        <f>IFERROR(VLOOKUP($G19,PROV_CREDIT,2,FALSE),1)</f>
        <v/>
      </c>
      <c r="J19" s="39">
        <f>$C19*$H19*$I19</f>
        <v/>
      </c>
      <c r="K19" s="39">
        <f>$C19-$J19</f>
        <v/>
      </c>
      <c r="L19" s="41" t="inlineStr">
        <is>
          <t>a2a/&lt;slug&gt;-a2a.yml manifest, graded on conformance.grade against A2A 1.0.0</t>
        </is>
      </c>
      <c r="M19" s="42" t="inlineStr">
        <is>
          <t>The provider serves a machine-readable agent discovery manifest at the A2A well-known path (/.well-known/agent-card.json, RFC 8615), advertising its identity, capabilities, skills, endpoint and auth. Weighted above agent_skills despite low adoption for a structural reason: an agent card is the only agent surface in this rubric that CANNOT be derived on a provider's behalf — it is served from the provider's own host or it does not exist. Where mcp_server, agent_skills and agentic_access can all credit an artifact API Evangelist authored, this one is provider-published by construction, and so is immune to the provenance defect that distorts the others.</t>
        </is>
      </c>
      <c r="N19" s="43" t="n"/>
      <c r="O19" s="44" t="n"/>
      <c r="P19" s="43" t="n"/>
    </row>
    <row r="20">
      <c r="A20" s="33" t="inlineStr">
        <is>
          <t>Dry-Run / Simulate Mode</t>
        </is>
      </c>
      <c r="B20" s="32" t="inlineStr">
        <is>
          <t>dry_run_mode</t>
        </is>
      </c>
      <c r="C20" s="40" t="n">
        <v>4</v>
      </c>
      <c r="D20" s="45" t="inlineStr">
        <is>
          <t>no, yes</t>
        </is>
      </c>
      <c r="E20" s="46" t="inlineStr">
        <is>
          <t>no</t>
        </is>
      </c>
      <c r="F20" s="47" t="n">
        <v>0</v>
      </c>
      <c r="G20" s="40" t="inlineStr">
        <is>
          <t>—</t>
        </is>
      </c>
      <c r="H20" s="38">
        <f>IF($E20="no",0,IF(OR($E20="yes",$E20="verified",$E20="conformant"),1,IF($E20="near-conformant",0.6,IF($E20="partial",0.5,IF($E20="documented",$F20,IF($E20="flavored",0.25,0))))))</f>
        <v/>
      </c>
      <c r="I20" s="38">
        <f>IFERROR(VLOOKUP($G20,PROV_CREDIT,2,FALSE),1)</f>
        <v/>
      </c>
      <c r="J20" s="39">
        <f>$C20*$H20*$I20</f>
        <v/>
      </c>
      <c r="K20" s="39">
        <f>$C20-$J20</f>
        <v/>
      </c>
      <c r="L20" s="41" t="inlineStr">
        <is>
          <t>OpenAPI: destructive operations expose a dry_run / simulate / preview / validate_only parameter</t>
        </is>
      </c>
      <c r="M20" s="42" t="inlineStr">
        <is>
          <t>A destructive operation can be planned before it is committed. This is the safest agent-native affordance in existence and the rarest: it lets an agent show a human what it is about to do, or check its own work, without doing it. Every other safety rail in this model limits the damage of an action that has already happened; this one is the only dimension that prevents it.</t>
        </is>
      </c>
      <c r="N20" s="43" t="n"/>
      <c r="O20" s="44" t="n"/>
      <c r="P20" s="43" t="n"/>
    </row>
    <row r="21">
      <c r="A21" s="48" t="inlineStr">
        <is>
          <t>TOTAL</t>
        </is>
      </c>
      <c r="B21" s="23" t="n"/>
      <c r="C21" s="48">
        <f>SUM($C$7:$C$20)</f>
        <v/>
      </c>
      <c r="D21" s="23" t="n"/>
      <c r="E21" s="23" t="n"/>
      <c r="F21" s="23" t="n"/>
      <c r="G21" s="23" t="n"/>
      <c r="H21" s="23" t="n"/>
      <c r="I21" s="23" t="n"/>
      <c r="J21" s="48">
        <f>ROUND(SUM($J$7:$J$20),1)</f>
        <v/>
      </c>
      <c r="K21" s="48">
        <f>ROUND(SUM($K$7:$K$20),1)</f>
        <v/>
      </c>
    </row>
  </sheetData>
  <dataValidations count="14">
    <dataValidation sqref="E7" showDropDown="0" showInputMessage="0" showErrorMessage="0" allowBlank="0" type="list">
      <formula1>"no,yes"</formula1>
    </dataValidation>
    <dataValidation sqref="E8" showDropDown="0" showInputMessage="0" showErrorMessage="0" allowBlank="0" type="list">
      <formula1>"no,yes"</formula1>
    </dataValidation>
    <dataValidation sqref="E9" showDropDown="0" showInputMessage="0" showErrorMessage="0" allowBlank="0" type="list">
      <formula1>"no,yes"</formula1>
    </dataValidation>
    <dataValidation sqref="E10" showDropDown="0" showInputMessage="0" showErrorMessage="0" allowBlank="0" type="list">
      <formula1>"no,yes"</formula1>
    </dataValidation>
    <dataValidation sqref="E11" showDropDown="0" showInputMessage="0" showErrorMessage="0" allowBlank="0" type="list">
      <formula1>"no,verified,documented"</formula1>
    </dataValidation>
    <dataValidation sqref="E12" showDropDown="0" showInputMessage="0" showErrorMessage="0" allowBlank="0" type="list">
      <formula1>"no,verified,documented"</formula1>
    </dataValidation>
    <dataValidation sqref="E13" showDropDown="0" showInputMessage="0" showErrorMessage="0" allowBlank="0" type="list">
      <formula1>"no,verified,partial,documented"</formula1>
    </dataValidation>
    <dataValidation sqref="E14" showDropDown="0" showInputMessage="0" showErrorMessage="0" allowBlank="0" type="list">
      <formula1>"no,verified,documented"</formula1>
    </dataValidation>
    <dataValidation sqref="E15" showDropDown="0" showInputMessage="0" showErrorMessage="0" allowBlank="0" type="list">
      <formula1>"no,yes"</formula1>
    </dataValidation>
    <dataValidation sqref="E16" showDropDown="0" showInputMessage="0" showErrorMessage="0" allowBlank="0" type="list">
      <formula1>"no,yes"</formula1>
    </dataValidation>
    <dataValidation sqref="E17" showDropDown="0" showInputMessage="0" showErrorMessage="0" allowBlank="0" type="list">
      <formula1>"no,yes"</formula1>
    </dataValidation>
    <dataValidation sqref="E18" showDropDown="0" showInputMessage="0" showErrorMessage="0" allowBlank="0" type="list">
      <formula1>"no,yes"</formula1>
    </dataValidation>
    <dataValidation sqref="E19" showDropDown="0" showInputMessage="0" showErrorMessage="0" allowBlank="0" type="list">
      <formula1>"no,conformant,near-conformant,flavored,invalid"</formula1>
    </dataValidation>
    <dataValidation sqref="E20" showDropDown="0" showInputMessage="0" showErrorMessage="0" allowBlank="0" type="list">
      <formula1>"no,yes"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5" customWidth="1" min="1" max="1"/>
    <col width="34" customWidth="1" min="2" max="2"/>
    <col width="24" customWidth="1" min="3" max="3"/>
    <col width="12" customWidth="1" min="4" max="4"/>
    <col width="7" customWidth="1" min="5" max="5"/>
    <col width="16" customWidth="1" min="6" max="6"/>
    <col width="60" customWidth="1" min="7" max="7"/>
    <col width="14" customWidth="1" min="8" max="8"/>
    <col width="12" customWidth="1" min="9" max="9"/>
    <col hidden="1" width="10" customWidth="1" min="10" max="10"/>
  </cols>
  <sheetData>
    <row r="1">
      <c r="A1" s="5" t="inlineStr">
        <is>
          <t>Do these next</t>
        </is>
      </c>
    </row>
    <row r="2">
      <c r="A2" s="2" t="inlineStr">
        <is>
          <t>Ranked by how much composite score each unfinished check is worth to YOU right now — its points, divided by the denominator of its facet, times that facet's weight. Recalculates as you tick things off on the Checklist. Small facets move fast: a 6-point governance check can outrank a 20-point contract check.</t>
        </is>
      </c>
    </row>
    <row r="3" ht="28" customHeight="1">
      <c r="A3" s="14" t="inlineStr">
        <is>
          <t>#</t>
        </is>
      </c>
      <c r="B3" s="14" t="inlineStr">
        <is>
          <t>Check</t>
        </is>
      </c>
      <c r="C3" s="14" t="inlineStr">
        <is>
          <t>Facet</t>
        </is>
      </c>
      <c r="D3" s="14" t="inlineStr">
        <is>
          <t>Worth on your score</t>
        </is>
      </c>
      <c r="E3" s="14" t="inlineStr">
        <is>
          <t>Points</t>
        </is>
      </c>
      <c r="F3" s="14" t="inlineStr">
        <is>
          <t>Artifact</t>
        </is>
      </c>
      <c r="G3" s="14" t="inlineStr">
        <is>
          <t>What the scorer looks for</t>
        </is>
      </c>
      <c r="H3" s="14" t="inlineStr">
        <is>
          <t>Owner</t>
        </is>
      </c>
      <c r="I3" s="14" t="inlineStr">
        <is>
          <t>Target</t>
        </is>
      </c>
      <c r="J3" s="14" t="inlineStr">
        <is>
          <t>_key</t>
        </is>
      </c>
    </row>
    <row r="4">
      <c r="A4" s="40" t="n">
        <v>1</v>
      </c>
      <c r="B4" s="33">
        <f>IF($D4&lt;=0,"",INDEX(Checklist!$D$2:$D$107,MATCH($J4,Checklist!$V$2:$V$107,0)))</f>
        <v/>
      </c>
      <c r="C4" s="35">
        <f>IF($D4&lt;=0,"",INDEX(Checklist!$B$2:$B$107,MATCH($J4,Checklist!$V$2:$V$107,0)))</f>
        <v/>
      </c>
      <c r="D4" s="49">
        <f>ROUND(MAX(0,INDEX(Checklist!$N$2:$N$107,MATCH($J4,Checklist!$V$2:$V$107,0))),2)</f>
        <v/>
      </c>
      <c r="E4" s="40">
        <f>IF($D4&lt;=0,"",INDEX(Checklist!$E$2:$E$107,MATCH($J4,Checklist!$V$2:$V$107,0)))</f>
        <v/>
      </c>
      <c r="F4" s="35">
        <f>IF($D4&lt;=0,"",INDEX(Checklist!$A$2:$A$107,MATCH($J4,Checklist!$V$2:$V$107,0)))</f>
        <v/>
      </c>
      <c r="G4" s="41">
        <f>IF($D4&lt;=0,"",INDEX(Checklist!$O$2:$O$107,MATCH($J4,Checklist!$V$2:$V$107,0)))</f>
        <v/>
      </c>
      <c r="H4" s="43" t="n"/>
      <c r="I4" s="44" t="n"/>
      <c r="J4">
        <f>LARGE(Checklist!$V$2:$V$107,1)</f>
        <v/>
      </c>
    </row>
    <row r="5">
      <c r="A5" s="40" t="n">
        <v>2</v>
      </c>
      <c r="B5" s="33">
        <f>IF($D5&lt;=0,"",INDEX(Checklist!$D$2:$D$107,MATCH($J5,Checklist!$V$2:$V$107,0)))</f>
        <v/>
      </c>
      <c r="C5" s="35">
        <f>IF($D5&lt;=0,"",INDEX(Checklist!$B$2:$B$107,MATCH($J5,Checklist!$V$2:$V$107,0)))</f>
        <v/>
      </c>
      <c r="D5" s="49">
        <f>ROUND(MAX(0,INDEX(Checklist!$N$2:$N$107,MATCH($J5,Checklist!$V$2:$V$107,0))),2)</f>
        <v/>
      </c>
      <c r="E5" s="40">
        <f>IF($D5&lt;=0,"",INDEX(Checklist!$E$2:$E$107,MATCH($J5,Checklist!$V$2:$V$107,0)))</f>
        <v/>
      </c>
      <c r="F5" s="35">
        <f>IF($D5&lt;=0,"",INDEX(Checklist!$A$2:$A$107,MATCH($J5,Checklist!$V$2:$V$107,0)))</f>
        <v/>
      </c>
      <c r="G5" s="41">
        <f>IF($D5&lt;=0,"",INDEX(Checklist!$O$2:$O$107,MATCH($J5,Checklist!$V$2:$V$107,0)))</f>
        <v/>
      </c>
      <c r="H5" s="43" t="n"/>
      <c r="I5" s="44" t="n"/>
      <c r="J5">
        <f>LARGE(Checklist!$V$2:$V$107,2)</f>
        <v/>
      </c>
    </row>
    <row r="6">
      <c r="A6" s="40" t="n">
        <v>3</v>
      </c>
      <c r="B6" s="33">
        <f>IF($D6&lt;=0,"",INDEX(Checklist!$D$2:$D$107,MATCH($J6,Checklist!$V$2:$V$107,0)))</f>
        <v/>
      </c>
      <c r="C6" s="35">
        <f>IF($D6&lt;=0,"",INDEX(Checklist!$B$2:$B$107,MATCH($J6,Checklist!$V$2:$V$107,0)))</f>
        <v/>
      </c>
      <c r="D6" s="49">
        <f>ROUND(MAX(0,INDEX(Checklist!$N$2:$N$107,MATCH($J6,Checklist!$V$2:$V$107,0))),2)</f>
        <v/>
      </c>
      <c r="E6" s="40">
        <f>IF($D6&lt;=0,"",INDEX(Checklist!$E$2:$E$107,MATCH($J6,Checklist!$V$2:$V$107,0)))</f>
        <v/>
      </c>
      <c r="F6" s="35">
        <f>IF($D6&lt;=0,"",INDEX(Checklist!$A$2:$A$107,MATCH($J6,Checklist!$V$2:$V$107,0)))</f>
        <v/>
      </c>
      <c r="G6" s="41">
        <f>IF($D6&lt;=0,"",INDEX(Checklist!$O$2:$O$107,MATCH($J6,Checklist!$V$2:$V$107,0)))</f>
        <v/>
      </c>
      <c r="H6" s="43" t="n"/>
      <c r="I6" s="44" t="n"/>
      <c r="J6">
        <f>LARGE(Checklist!$V$2:$V$107,3)</f>
        <v/>
      </c>
    </row>
    <row r="7">
      <c r="A7" s="40" t="n">
        <v>4</v>
      </c>
      <c r="B7" s="33">
        <f>IF($D7&lt;=0,"",INDEX(Checklist!$D$2:$D$107,MATCH($J7,Checklist!$V$2:$V$107,0)))</f>
        <v/>
      </c>
      <c r="C7" s="35">
        <f>IF($D7&lt;=0,"",INDEX(Checklist!$B$2:$B$107,MATCH($J7,Checklist!$V$2:$V$107,0)))</f>
        <v/>
      </c>
      <c r="D7" s="49">
        <f>ROUND(MAX(0,INDEX(Checklist!$N$2:$N$107,MATCH($J7,Checklist!$V$2:$V$107,0))),2)</f>
        <v/>
      </c>
      <c r="E7" s="40">
        <f>IF($D7&lt;=0,"",INDEX(Checklist!$E$2:$E$107,MATCH($J7,Checklist!$V$2:$V$107,0)))</f>
        <v/>
      </c>
      <c r="F7" s="35">
        <f>IF($D7&lt;=0,"",INDEX(Checklist!$A$2:$A$107,MATCH($J7,Checklist!$V$2:$V$107,0)))</f>
        <v/>
      </c>
      <c r="G7" s="41">
        <f>IF($D7&lt;=0,"",INDEX(Checklist!$O$2:$O$107,MATCH($J7,Checklist!$V$2:$V$107,0)))</f>
        <v/>
      </c>
      <c r="H7" s="43" t="n"/>
      <c r="I7" s="44" t="n"/>
      <c r="J7">
        <f>LARGE(Checklist!$V$2:$V$107,4)</f>
        <v/>
      </c>
    </row>
    <row r="8">
      <c r="A8" s="40" t="n">
        <v>5</v>
      </c>
      <c r="B8" s="33">
        <f>IF($D8&lt;=0,"",INDEX(Checklist!$D$2:$D$107,MATCH($J8,Checklist!$V$2:$V$107,0)))</f>
        <v/>
      </c>
      <c r="C8" s="35">
        <f>IF($D8&lt;=0,"",INDEX(Checklist!$B$2:$B$107,MATCH($J8,Checklist!$V$2:$V$107,0)))</f>
        <v/>
      </c>
      <c r="D8" s="49">
        <f>ROUND(MAX(0,INDEX(Checklist!$N$2:$N$107,MATCH($J8,Checklist!$V$2:$V$107,0))),2)</f>
        <v/>
      </c>
      <c r="E8" s="40">
        <f>IF($D8&lt;=0,"",INDEX(Checklist!$E$2:$E$107,MATCH($J8,Checklist!$V$2:$V$107,0)))</f>
        <v/>
      </c>
      <c r="F8" s="35">
        <f>IF($D8&lt;=0,"",INDEX(Checklist!$A$2:$A$107,MATCH($J8,Checklist!$V$2:$V$107,0)))</f>
        <v/>
      </c>
      <c r="G8" s="41">
        <f>IF($D8&lt;=0,"",INDEX(Checklist!$O$2:$O$107,MATCH($J8,Checklist!$V$2:$V$107,0)))</f>
        <v/>
      </c>
      <c r="H8" s="43" t="n"/>
      <c r="I8" s="44" t="n"/>
      <c r="J8">
        <f>LARGE(Checklist!$V$2:$V$107,5)</f>
        <v/>
      </c>
    </row>
    <row r="9">
      <c r="A9" s="40" t="n">
        <v>6</v>
      </c>
      <c r="B9" s="33">
        <f>IF($D9&lt;=0,"",INDEX(Checklist!$D$2:$D$107,MATCH($J9,Checklist!$V$2:$V$107,0)))</f>
        <v/>
      </c>
      <c r="C9" s="35">
        <f>IF($D9&lt;=0,"",INDEX(Checklist!$B$2:$B$107,MATCH($J9,Checklist!$V$2:$V$107,0)))</f>
        <v/>
      </c>
      <c r="D9" s="49">
        <f>ROUND(MAX(0,INDEX(Checklist!$N$2:$N$107,MATCH($J9,Checklist!$V$2:$V$107,0))),2)</f>
        <v/>
      </c>
      <c r="E9" s="40">
        <f>IF($D9&lt;=0,"",INDEX(Checklist!$E$2:$E$107,MATCH($J9,Checklist!$V$2:$V$107,0)))</f>
        <v/>
      </c>
      <c r="F9" s="35">
        <f>IF($D9&lt;=0,"",INDEX(Checklist!$A$2:$A$107,MATCH($J9,Checklist!$V$2:$V$107,0)))</f>
        <v/>
      </c>
      <c r="G9" s="41">
        <f>IF($D9&lt;=0,"",INDEX(Checklist!$O$2:$O$107,MATCH($J9,Checklist!$V$2:$V$107,0)))</f>
        <v/>
      </c>
      <c r="H9" s="43" t="n"/>
      <c r="I9" s="44" t="n"/>
      <c r="J9">
        <f>LARGE(Checklist!$V$2:$V$107,6)</f>
        <v/>
      </c>
    </row>
    <row r="10">
      <c r="A10" s="40" t="n">
        <v>7</v>
      </c>
      <c r="B10" s="33">
        <f>IF($D10&lt;=0,"",INDEX(Checklist!$D$2:$D$107,MATCH($J10,Checklist!$V$2:$V$107,0)))</f>
        <v/>
      </c>
      <c r="C10" s="35">
        <f>IF($D10&lt;=0,"",INDEX(Checklist!$B$2:$B$107,MATCH($J10,Checklist!$V$2:$V$107,0)))</f>
        <v/>
      </c>
      <c r="D10" s="49">
        <f>ROUND(MAX(0,INDEX(Checklist!$N$2:$N$107,MATCH($J10,Checklist!$V$2:$V$107,0))),2)</f>
        <v/>
      </c>
      <c r="E10" s="40">
        <f>IF($D10&lt;=0,"",INDEX(Checklist!$E$2:$E$107,MATCH($J10,Checklist!$V$2:$V$107,0)))</f>
        <v/>
      </c>
      <c r="F10" s="35">
        <f>IF($D10&lt;=0,"",INDEX(Checklist!$A$2:$A$107,MATCH($J10,Checklist!$V$2:$V$107,0)))</f>
        <v/>
      </c>
      <c r="G10" s="41">
        <f>IF($D10&lt;=0,"",INDEX(Checklist!$O$2:$O$107,MATCH($J10,Checklist!$V$2:$V$107,0)))</f>
        <v/>
      </c>
      <c r="H10" s="43" t="n"/>
      <c r="I10" s="44" t="n"/>
      <c r="J10">
        <f>LARGE(Checklist!$V$2:$V$107,7)</f>
        <v/>
      </c>
    </row>
    <row r="11">
      <c r="A11" s="40" t="n">
        <v>8</v>
      </c>
      <c r="B11" s="33">
        <f>IF($D11&lt;=0,"",INDEX(Checklist!$D$2:$D$107,MATCH($J11,Checklist!$V$2:$V$107,0)))</f>
        <v/>
      </c>
      <c r="C11" s="35">
        <f>IF($D11&lt;=0,"",INDEX(Checklist!$B$2:$B$107,MATCH($J11,Checklist!$V$2:$V$107,0)))</f>
        <v/>
      </c>
      <c r="D11" s="49">
        <f>ROUND(MAX(0,INDEX(Checklist!$N$2:$N$107,MATCH($J11,Checklist!$V$2:$V$107,0))),2)</f>
        <v/>
      </c>
      <c r="E11" s="40">
        <f>IF($D11&lt;=0,"",INDEX(Checklist!$E$2:$E$107,MATCH($J11,Checklist!$V$2:$V$107,0)))</f>
        <v/>
      </c>
      <c r="F11" s="35">
        <f>IF($D11&lt;=0,"",INDEX(Checklist!$A$2:$A$107,MATCH($J11,Checklist!$V$2:$V$107,0)))</f>
        <v/>
      </c>
      <c r="G11" s="41">
        <f>IF($D11&lt;=0,"",INDEX(Checklist!$O$2:$O$107,MATCH($J11,Checklist!$V$2:$V$107,0)))</f>
        <v/>
      </c>
      <c r="H11" s="43" t="n"/>
      <c r="I11" s="44" t="n"/>
      <c r="J11">
        <f>LARGE(Checklist!$V$2:$V$107,8)</f>
        <v/>
      </c>
    </row>
    <row r="12">
      <c r="A12" s="40" t="n">
        <v>9</v>
      </c>
      <c r="B12" s="33">
        <f>IF($D12&lt;=0,"",INDEX(Checklist!$D$2:$D$107,MATCH($J12,Checklist!$V$2:$V$107,0)))</f>
        <v/>
      </c>
      <c r="C12" s="35">
        <f>IF($D12&lt;=0,"",INDEX(Checklist!$B$2:$B$107,MATCH($J12,Checklist!$V$2:$V$107,0)))</f>
        <v/>
      </c>
      <c r="D12" s="49">
        <f>ROUND(MAX(0,INDEX(Checklist!$N$2:$N$107,MATCH($J12,Checklist!$V$2:$V$107,0))),2)</f>
        <v/>
      </c>
      <c r="E12" s="40">
        <f>IF($D12&lt;=0,"",INDEX(Checklist!$E$2:$E$107,MATCH($J12,Checklist!$V$2:$V$107,0)))</f>
        <v/>
      </c>
      <c r="F12" s="35">
        <f>IF($D12&lt;=0,"",INDEX(Checklist!$A$2:$A$107,MATCH($J12,Checklist!$V$2:$V$107,0)))</f>
        <v/>
      </c>
      <c r="G12" s="41">
        <f>IF($D12&lt;=0,"",INDEX(Checklist!$O$2:$O$107,MATCH($J12,Checklist!$V$2:$V$107,0)))</f>
        <v/>
      </c>
      <c r="H12" s="43" t="n"/>
      <c r="I12" s="44" t="n"/>
      <c r="J12">
        <f>LARGE(Checklist!$V$2:$V$107,9)</f>
        <v/>
      </c>
    </row>
    <row r="13">
      <c r="A13" s="40" t="n">
        <v>10</v>
      </c>
      <c r="B13" s="33">
        <f>IF($D13&lt;=0,"",INDEX(Checklist!$D$2:$D$107,MATCH($J13,Checklist!$V$2:$V$107,0)))</f>
        <v/>
      </c>
      <c r="C13" s="35">
        <f>IF($D13&lt;=0,"",INDEX(Checklist!$B$2:$B$107,MATCH($J13,Checklist!$V$2:$V$107,0)))</f>
        <v/>
      </c>
      <c r="D13" s="49">
        <f>ROUND(MAX(0,INDEX(Checklist!$N$2:$N$107,MATCH($J13,Checklist!$V$2:$V$107,0))),2)</f>
        <v/>
      </c>
      <c r="E13" s="40">
        <f>IF($D13&lt;=0,"",INDEX(Checklist!$E$2:$E$107,MATCH($J13,Checklist!$V$2:$V$107,0)))</f>
        <v/>
      </c>
      <c r="F13" s="35">
        <f>IF($D13&lt;=0,"",INDEX(Checklist!$A$2:$A$107,MATCH($J13,Checklist!$V$2:$V$107,0)))</f>
        <v/>
      </c>
      <c r="G13" s="41">
        <f>IF($D13&lt;=0,"",INDEX(Checklist!$O$2:$O$107,MATCH($J13,Checklist!$V$2:$V$107,0)))</f>
        <v/>
      </c>
      <c r="H13" s="43" t="n"/>
      <c r="I13" s="44" t="n"/>
      <c r="J13">
        <f>LARGE(Checklist!$V$2:$V$107,10)</f>
        <v/>
      </c>
    </row>
    <row r="14">
      <c r="A14" s="40" t="n">
        <v>11</v>
      </c>
      <c r="B14" s="33">
        <f>IF($D14&lt;=0,"",INDEX(Checklist!$D$2:$D$107,MATCH($J14,Checklist!$V$2:$V$107,0)))</f>
        <v/>
      </c>
      <c r="C14" s="35">
        <f>IF($D14&lt;=0,"",INDEX(Checklist!$B$2:$B$107,MATCH($J14,Checklist!$V$2:$V$107,0)))</f>
        <v/>
      </c>
      <c r="D14" s="49">
        <f>ROUND(MAX(0,INDEX(Checklist!$N$2:$N$107,MATCH($J14,Checklist!$V$2:$V$107,0))),2)</f>
        <v/>
      </c>
      <c r="E14" s="40">
        <f>IF($D14&lt;=0,"",INDEX(Checklist!$E$2:$E$107,MATCH($J14,Checklist!$V$2:$V$107,0)))</f>
        <v/>
      </c>
      <c r="F14" s="35">
        <f>IF($D14&lt;=0,"",INDEX(Checklist!$A$2:$A$107,MATCH($J14,Checklist!$V$2:$V$107,0)))</f>
        <v/>
      </c>
      <c r="G14" s="41">
        <f>IF($D14&lt;=0,"",INDEX(Checklist!$O$2:$O$107,MATCH($J14,Checklist!$V$2:$V$107,0)))</f>
        <v/>
      </c>
      <c r="H14" s="43" t="n"/>
      <c r="I14" s="44" t="n"/>
      <c r="J14">
        <f>LARGE(Checklist!$V$2:$V$107,11)</f>
        <v/>
      </c>
    </row>
    <row r="15">
      <c r="A15" s="40" t="n">
        <v>12</v>
      </c>
      <c r="B15" s="33">
        <f>IF($D15&lt;=0,"",INDEX(Checklist!$D$2:$D$107,MATCH($J15,Checklist!$V$2:$V$107,0)))</f>
        <v/>
      </c>
      <c r="C15" s="35">
        <f>IF($D15&lt;=0,"",INDEX(Checklist!$B$2:$B$107,MATCH($J15,Checklist!$V$2:$V$107,0)))</f>
        <v/>
      </c>
      <c r="D15" s="49">
        <f>ROUND(MAX(0,INDEX(Checklist!$N$2:$N$107,MATCH($J15,Checklist!$V$2:$V$107,0))),2)</f>
        <v/>
      </c>
      <c r="E15" s="40">
        <f>IF($D15&lt;=0,"",INDEX(Checklist!$E$2:$E$107,MATCH($J15,Checklist!$V$2:$V$107,0)))</f>
        <v/>
      </c>
      <c r="F15" s="35">
        <f>IF($D15&lt;=0,"",INDEX(Checklist!$A$2:$A$107,MATCH($J15,Checklist!$V$2:$V$107,0)))</f>
        <v/>
      </c>
      <c r="G15" s="41">
        <f>IF($D15&lt;=0,"",INDEX(Checklist!$O$2:$O$107,MATCH($J15,Checklist!$V$2:$V$107,0)))</f>
        <v/>
      </c>
      <c r="H15" s="43" t="n"/>
      <c r="I15" s="44" t="n"/>
      <c r="J15">
        <f>LARGE(Checklist!$V$2:$V$107,12)</f>
        <v/>
      </c>
    </row>
    <row r="16">
      <c r="A16" s="40" t="n">
        <v>13</v>
      </c>
      <c r="B16" s="33">
        <f>IF($D16&lt;=0,"",INDEX(Checklist!$D$2:$D$107,MATCH($J16,Checklist!$V$2:$V$107,0)))</f>
        <v/>
      </c>
      <c r="C16" s="35">
        <f>IF($D16&lt;=0,"",INDEX(Checklist!$B$2:$B$107,MATCH($J16,Checklist!$V$2:$V$107,0)))</f>
        <v/>
      </c>
      <c r="D16" s="49">
        <f>ROUND(MAX(0,INDEX(Checklist!$N$2:$N$107,MATCH($J16,Checklist!$V$2:$V$107,0))),2)</f>
        <v/>
      </c>
      <c r="E16" s="40">
        <f>IF($D16&lt;=0,"",INDEX(Checklist!$E$2:$E$107,MATCH($J16,Checklist!$V$2:$V$107,0)))</f>
        <v/>
      </c>
      <c r="F16" s="35">
        <f>IF($D16&lt;=0,"",INDEX(Checklist!$A$2:$A$107,MATCH($J16,Checklist!$V$2:$V$107,0)))</f>
        <v/>
      </c>
      <c r="G16" s="41">
        <f>IF($D16&lt;=0,"",INDEX(Checklist!$O$2:$O$107,MATCH($J16,Checklist!$V$2:$V$107,0)))</f>
        <v/>
      </c>
      <c r="H16" s="43" t="n"/>
      <c r="I16" s="44" t="n"/>
      <c r="J16">
        <f>LARGE(Checklist!$V$2:$V$107,13)</f>
        <v/>
      </c>
    </row>
    <row r="17">
      <c r="A17" s="40" t="n">
        <v>14</v>
      </c>
      <c r="B17" s="33">
        <f>IF($D17&lt;=0,"",INDEX(Checklist!$D$2:$D$107,MATCH($J17,Checklist!$V$2:$V$107,0)))</f>
        <v/>
      </c>
      <c r="C17" s="35">
        <f>IF($D17&lt;=0,"",INDEX(Checklist!$B$2:$B$107,MATCH($J17,Checklist!$V$2:$V$107,0)))</f>
        <v/>
      </c>
      <c r="D17" s="49">
        <f>ROUND(MAX(0,INDEX(Checklist!$N$2:$N$107,MATCH($J17,Checklist!$V$2:$V$107,0))),2)</f>
        <v/>
      </c>
      <c r="E17" s="40">
        <f>IF($D17&lt;=0,"",INDEX(Checklist!$E$2:$E$107,MATCH($J17,Checklist!$V$2:$V$107,0)))</f>
        <v/>
      </c>
      <c r="F17" s="35">
        <f>IF($D17&lt;=0,"",INDEX(Checklist!$A$2:$A$107,MATCH($J17,Checklist!$V$2:$V$107,0)))</f>
        <v/>
      </c>
      <c r="G17" s="41">
        <f>IF($D17&lt;=0,"",INDEX(Checklist!$O$2:$O$107,MATCH($J17,Checklist!$V$2:$V$107,0)))</f>
        <v/>
      </c>
      <c r="H17" s="43" t="n"/>
      <c r="I17" s="44" t="n"/>
      <c r="J17">
        <f>LARGE(Checklist!$V$2:$V$107,14)</f>
        <v/>
      </c>
    </row>
    <row r="18">
      <c r="A18" s="40" t="n">
        <v>15</v>
      </c>
      <c r="B18" s="33">
        <f>IF($D18&lt;=0,"",INDEX(Checklist!$D$2:$D$107,MATCH($J18,Checklist!$V$2:$V$107,0)))</f>
        <v/>
      </c>
      <c r="C18" s="35">
        <f>IF($D18&lt;=0,"",INDEX(Checklist!$B$2:$B$107,MATCH($J18,Checklist!$V$2:$V$107,0)))</f>
        <v/>
      </c>
      <c r="D18" s="49">
        <f>ROUND(MAX(0,INDEX(Checklist!$N$2:$N$107,MATCH($J18,Checklist!$V$2:$V$107,0))),2)</f>
        <v/>
      </c>
      <c r="E18" s="40">
        <f>IF($D18&lt;=0,"",INDEX(Checklist!$E$2:$E$107,MATCH($J18,Checklist!$V$2:$V$107,0)))</f>
        <v/>
      </c>
      <c r="F18" s="35">
        <f>IF($D18&lt;=0,"",INDEX(Checklist!$A$2:$A$107,MATCH($J18,Checklist!$V$2:$V$107,0)))</f>
        <v/>
      </c>
      <c r="G18" s="41">
        <f>IF($D18&lt;=0,"",INDEX(Checklist!$O$2:$O$107,MATCH($J18,Checklist!$V$2:$V$107,0)))</f>
        <v/>
      </c>
      <c r="H18" s="43" t="n"/>
      <c r="I18" s="44" t="n"/>
      <c r="J18">
        <f>LARGE(Checklist!$V$2:$V$107,15)</f>
        <v/>
      </c>
    </row>
    <row r="19">
      <c r="A19" s="40" t="n">
        <v>16</v>
      </c>
      <c r="B19" s="33">
        <f>IF($D19&lt;=0,"",INDEX(Checklist!$D$2:$D$107,MATCH($J19,Checklist!$V$2:$V$107,0)))</f>
        <v/>
      </c>
      <c r="C19" s="35">
        <f>IF($D19&lt;=0,"",INDEX(Checklist!$B$2:$B$107,MATCH($J19,Checklist!$V$2:$V$107,0)))</f>
        <v/>
      </c>
      <c r="D19" s="49">
        <f>ROUND(MAX(0,INDEX(Checklist!$N$2:$N$107,MATCH($J19,Checklist!$V$2:$V$107,0))),2)</f>
        <v/>
      </c>
      <c r="E19" s="40">
        <f>IF($D19&lt;=0,"",INDEX(Checklist!$E$2:$E$107,MATCH($J19,Checklist!$V$2:$V$107,0)))</f>
        <v/>
      </c>
      <c r="F19" s="35">
        <f>IF($D19&lt;=0,"",INDEX(Checklist!$A$2:$A$107,MATCH($J19,Checklist!$V$2:$V$107,0)))</f>
        <v/>
      </c>
      <c r="G19" s="41">
        <f>IF($D19&lt;=0,"",INDEX(Checklist!$O$2:$O$107,MATCH($J19,Checklist!$V$2:$V$107,0)))</f>
        <v/>
      </c>
      <c r="H19" s="43" t="n"/>
      <c r="I19" s="44" t="n"/>
      <c r="J19">
        <f>LARGE(Checklist!$V$2:$V$107,16)</f>
        <v/>
      </c>
    </row>
    <row r="20">
      <c r="A20" s="40" t="n">
        <v>17</v>
      </c>
      <c r="B20" s="33">
        <f>IF($D20&lt;=0,"",INDEX(Checklist!$D$2:$D$107,MATCH($J20,Checklist!$V$2:$V$107,0)))</f>
        <v/>
      </c>
      <c r="C20" s="35">
        <f>IF($D20&lt;=0,"",INDEX(Checklist!$B$2:$B$107,MATCH($J20,Checklist!$V$2:$V$107,0)))</f>
        <v/>
      </c>
      <c r="D20" s="49">
        <f>ROUND(MAX(0,INDEX(Checklist!$N$2:$N$107,MATCH($J20,Checklist!$V$2:$V$107,0))),2)</f>
        <v/>
      </c>
      <c r="E20" s="40">
        <f>IF($D20&lt;=0,"",INDEX(Checklist!$E$2:$E$107,MATCH($J20,Checklist!$V$2:$V$107,0)))</f>
        <v/>
      </c>
      <c r="F20" s="35">
        <f>IF($D20&lt;=0,"",INDEX(Checklist!$A$2:$A$107,MATCH($J20,Checklist!$V$2:$V$107,0)))</f>
        <v/>
      </c>
      <c r="G20" s="41">
        <f>IF($D20&lt;=0,"",INDEX(Checklist!$O$2:$O$107,MATCH($J20,Checklist!$V$2:$V$107,0)))</f>
        <v/>
      </c>
      <c r="H20" s="43" t="n"/>
      <c r="I20" s="44" t="n"/>
      <c r="J20">
        <f>LARGE(Checklist!$V$2:$V$107,17)</f>
        <v/>
      </c>
    </row>
    <row r="21">
      <c r="A21" s="40" t="n">
        <v>18</v>
      </c>
      <c r="B21" s="33">
        <f>IF($D21&lt;=0,"",INDEX(Checklist!$D$2:$D$107,MATCH($J21,Checklist!$V$2:$V$107,0)))</f>
        <v/>
      </c>
      <c r="C21" s="35">
        <f>IF($D21&lt;=0,"",INDEX(Checklist!$B$2:$B$107,MATCH($J21,Checklist!$V$2:$V$107,0)))</f>
        <v/>
      </c>
      <c r="D21" s="49">
        <f>ROUND(MAX(0,INDEX(Checklist!$N$2:$N$107,MATCH($J21,Checklist!$V$2:$V$107,0))),2)</f>
        <v/>
      </c>
      <c r="E21" s="40">
        <f>IF($D21&lt;=0,"",INDEX(Checklist!$E$2:$E$107,MATCH($J21,Checklist!$V$2:$V$107,0)))</f>
        <v/>
      </c>
      <c r="F21" s="35">
        <f>IF($D21&lt;=0,"",INDEX(Checklist!$A$2:$A$107,MATCH($J21,Checklist!$V$2:$V$107,0)))</f>
        <v/>
      </c>
      <c r="G21" s="41">
        <f>IF($D21&lt;=0,"",INDEX(Checklist!$O$2:$O$107,MATCH($J21,Checklist!$V$2:$V$107,0)))</f>
        <v/>
      </c>
      <c r="H21" s="43" t="n"/>
      <c r="I21" s="44" t="n"/>
      <c r="J21">
        <f>LARGE(Checklist!$V$2:$V$107,18)</f>
        <v/>
      </c>
    </row>
    <row r="22">
      <c r="A22" s="40" t="n">
        <v>19</v>
      </c>
      <c r="B22" s="33">
        <f>IF($D22&lt;=0,"",INDEX(Checklist!$D$2:$D$107,MATCH($J22,Checklist!$V$2:$V$107,0)))</f>
        <v/>
      </c>
      <c r="C22" s="35">
        <f>IF($D22&lt;=0,"",INDEX(Checklist!$B$2:$B$107,MATCH($J22,Checklist!$V$2:$V$107,0)))</f>
        <v/>
      </c>
      <c r="D22" s="49">
        <f>ROUND(MAX(0,INDEX(Checklist!$N$2:$N$107,MATCH($J22,Checklist!$V$2:$V$107,0))),2)</f>
        <v/>
      </c>
      <c r="E22" s="40">
        <f>IF($D22&lt;=0,"",INDEX(Checklist!$E$2:$E$107,MATCH($J22,Checklist!$V$2:$V$107,0)))</f>
        <v/>
      </c>
      <c r="F22" s="35">
        <f>IF($D22&lt;=0,"",INDEX(Checklist!$A$2:$A$107,MATCH($J22,Checklist!$V$2:$V$107,0)))</f>
        <v/>
      </c>
      <c r="G22" s="41">
        <f>IF($D22&lt;=0,"",INDEX(Checklist!$O$2:$O$107,MATCH($J22,Checklist!$V$2:$V$107,0)))</f>
        <v/>
      </c>
      <c r="H22" s="43" t="n"/>
      <c r="I22" s="44" t="n"/>
      <c r="J22">
        <f>LARGE(Checklist!$V$2:$V$107,19)</f>
        <v/>
      </c>
    </row>
    <row r="23">
      <c r="A23" s="40" t="n">
        <v>20</v>
      </c>
      <c r="B23" s="33">
        <f>IF($D23&lt;=0,"",INDEX(Checklist!$D$2:$D$107,MATCH($J23,Checklist!$V$2:$V$107,0)))</f>
        <v/>
      </c>
      <c r="C23" s="35">
        <f>IF($D23&lt;=0,"",INDEX(Checklist!$B$2:$B$107,MATCH($J23,Checklist!$V$2:$V$107,0)))</f>
        <v/>
      </c>
      <c r="D23" s="49">
        <f>ROUND(MAX(0,INDEX(Checklist!$N$2:$N$107,MATCH($J23,Checklist!$V$2:$V$107,0))),2)</f>
        <v/>
      </c>
      <c r="E23" s="40">
        <f>IF($D23&lt;=0,"",INDEX(Checklist!$E$2:$E$107,MATCH($J23,Checklist!$V$2:$V$107,0)))</f>
        <v/>
      </c>
      <c r="F23" s="35">
        <f>IF($D23&lt;=0,"",INDEX(Checklist!$A$2:$A$107,MATCH($J23,Checklist!$V$2:$V$107,0)))</f>
        <v/>
      </c>
      <c r="G23" s="41">
        <f>IF($D23&lt;=0,"",INDEX(Checklist!$O$2:$O$107,MATCH($J23,Checklist!$V$2:$V$107,0)))</f>
        <v/>
      </c>
      <c r="H23" s="43" t="n"/>
      <c r="I23" s="44" t="n"/>
      <c r="J23">
        <f>LARGE(Checklist!$V$2:$V$107,20)</f>
        <v/>
      </c>
    </row>
    <row r="24">
      <c r="A24" s="40" t="n">
        <v>21</v>
      </c>
      <c r="B24" s="33">
        <f>IF($D24&lt;=0,"",INDEX(Checklist!$D$2:$D$107,MATCH($J24,Checklist!$V$2:$V$107,0)))</f>
        <v/>
      </c>
      <c r="C24" s="35">
        <f>IF($D24&lt;=0,"",INDEX(Checklist!$B$2:$B$107,MATCH($J24,Checklist!$V$2:$V$107,0)))</f>
        <v/>
      </c>
      <c r="D24" s="49">
        <f>ROUND(MAX(0,INDEX(Checklist!$N$2:$N$107,MATCH($J24,Checklist!$V$2:$V$107,0))),2)</f>
        <v/>
      </c>
      <c r="E24" s="40">
        <f>IF($D24&lt;=0,"",INDEX(Checklist!$E$2:$E$107,MATCH($J24,Checklist!$V$2:$V$107,0)))</f>
        <v/>
      </c>
      <c r="F24" s="35">
        <f>IF($D24&lt;=0,"",INDEX(Checklist!$A$2:$A$107,MATCH($J24,Checklist!$V$2:$V$107,0)))</f>
        <v/>
      </c>
      <c r="G24" s="41">
        <f>IF($D24&lt;=0,"",INDEX(Checklist!$O$2:$O$107,MATCH($J24,Checklist!$V$2:$V$107,0)))</f>
        <v/>
      </c>
      <c r="H24" s="43" t="n"/>
      <c r="I24" s="44" t="n"/>
      <c r="J24">
        <f>LARGE(Checklist!$V$2:$V$107,21)</f>
        <v/>
      </c>
    </row>
    <row r="25">
      <c r="A25" s="40" t="n">
        <v>22</v>
      </c>
      <c r="B25" s="33">
        <f>IF($D25&lt;=0,"",INDEX(Checklist!$D$2:$D$107,MATCH($J25,Checklist!$V$2:$V$107,0)))</f>
        <v/>
      </c>
      <c r="C25" s="35">
        <f>IF($D25&lt;=0,"",INDEX(Checklist!$B$2:$B$107,MATCH($J25,Checklist!$V$2:$V$107,0)))</f>
        <v/>
      </c>
      <c r="D25" s="49">
        <f>ROUND(MAX(0,INDEX(Checklist!$N$2:$N$107,MATCH($J25,Checklist!$V$2:$V$107,0))),2)</f>
        <v/>
      </c>
      <c r="E25" s="40">
        <f>IF($D25&lt;=0,"",INDEX(Checklist!$E$2:$E$107,MATCH($J25,Checklist!$V$2:$V$107,0)))</f>
        <v/>
      </c>
      <c r="F25" s="35">
        <f>IF($D25&lt;=0,"",INDEX(Checklist!$A$2:$A$107,MATCH($J25,Checklist!$V$2:$V$107,0)))</f>
        <v/>
      </c>
      <c r="G25" s="41">
        <f>IF($D25&lt;=0,"",INDEX(Checklist!$O$2:$O$107,MATCH($J25,Checklist!$V$2:$V$107,0)))</f>
        <v/>
      </c>
      <c r="H25" s="43" t="n"/>
      <c r="I25" s="44" t="n"/>
      <c r="J25">
        <f>LARGE(Checklist!$V$2:$V$107,22)</f>
        <v/>
      </c>
    </row>
    <row r="26">
      <c r="A26" s="40" t="n">
        <v>23</v>
      </c>
      <c r="B26" s="33">
        <f>IF($D26&lt;=0,"",INDEX(Checklist!$D$2:$D$107,MATCH($J26,Checklist!$V$2:$V$107,0)))</f>
        <v/>
      </c>
      <c r="C26" s="35">
        <f>IF($D26&lt;=0,"",INDEX(Checklist!$B$2:$B$107,MATCH($J26,Checklist!$V$2:$V$107,0)))</f>
        <v/>
      </c>
      <c r="D26" s="49">
        <f>ROUND(MAX(0,INDEX(Checklist!$N$2:$N$107,MATCH($J26,Checklist!$V$2:$V$107,0))),2)</f>
        <v/>
      </c>
      <c r="E26" s="40">
        <f>IF($D26&lt;=0,"",INDEX(Checklist!$E$2:$E$107,MATCH($J26,Checklist!$V$2:$V$107,0)))</f>
        <v/>
      </c>
      <c r="F26" s="35">
        <f>IF($D26&lt;=0,"",INDEX(Checklist!$A$2:$A$107,MATCH($J26,Checklist!$V$2:$V$107,0)))</f>
        <v/>
      </c>
      <c r="G26" s="41">
        <f>IF($D26&lt;=0,"",INDEX(Checklist!$O$2:$O$107,MATCH($J26,Checklist!$V$2:$V$107,0)))</f>
        <v/>
      </c>
      <c r="H26" s="43" t="n"/>
      <c r="I26" s="44" t="n"/>
      <c r="J26">
        <f>LARGE(Checklist!$V$2:$V$107,23)</f>
        <v/>
      </c>
    </row>
    <row r="27">
      <c r="A27" s="40" t="n">
        <v>24</v>
      </c>
      <c r="B27" s="33">
        <f>IF($D27&lt;=0,"",INDEX(Checklist!$D$2:$D$107,MATCH($J27,Checklist!$V$2:$V$107,0)))</f>
        <v/>
      </c>
      <c r="C27" s="35">
        <f>IF($D27&lt;=0,"",INDEX(Checklist!$B$2:$B$107,MATCH($J27,Checklist!$V$2:$V$107,0)))</f>
        <v/>
      </c>
      <c r="D27" s="49">
        <f>ROUND(MAX(0,INDEX(Checklist!$N$2:$N$107,MATCH($J27,Checklist!$V$2:$V$107,0))),2)</f>
        <v/>
      </c>
      <c r="E27" s="40">
        <f>IF($D27&lt;=0,"",INDEX(Checklist!$E$2:$E$107,MATCH($J27,Checklist!$V$2:$V$107,0)))</f>
        <v/>
      </c>
      <c r="F27" s="35">
        <f>IF($D27&lt;=0,"",INDEX(Checklist!$A$2:$A$107,MATCH($J27,Checklist!$V$2:$V$107,0)))</f>
        <v/>
      </c>
      <c r="G27" s="41">
        <f>IF($D27&lt;=0,"",INDEX(Checklist!$O$2:$O$107,MATCH($J27,Checklist!$V$2:$V$107,0)))</f>
        <v/>
      </c>
      <c r="H27" s="43" t="n"/>
      <c r="I27" s="44" t="n"/>
      <c r="J27">
        <f>LARGE(Checklist!$V$2:$V$107,24)</f>
        <v/>
      </c>
    </row>
    <row r="28">
      <c r="A28" s="40" t="n">
        <v>25</v>
      </c>
      <c r="B28" s="33">
        <f>IF($D28&lt;=0,"",INDEX(Checklist!$D$2:$D$107,MATCH($J28,Checklist!$V$2:$V$107,0)))</f>
        <v/>
      </c>
      <c r="C28" s="35">
        <f>IF($D28&lt;=0,"",INDEX(Checklist!$B$2:$B$107,MATCH($J28,Checklist!$V$2:$V$107,0)))</f>
        <v/>
      </c>
      <c r="D28" s="49">
        <f>ROUND(MAX(0,INDEX(Checklist!$N$2:$N$107,MATCH($J28,Checklist!$V$2:$V$107,0))),2)</f>
        <v/>
      </c>
      <c r="E28" s="40">
        <f>IF($D28&lt;=0,"",INDEX(Checklist!$E$2:$E$107,MATCH($J28,Checklist!$V$2:$V$107,0)))</f>
        <v/>
      </c>
      <c r="F28" s="35">
        <f>IF($D28&lt;=0,"",INDEX(Checklist!$A$2:$A$107,MATCH($J28,Checklist!$V$2:$V$107,0)))</f>
        <v/>
      </c>
      <c r="G28" s="41">
        <f>IF($D28&lt;=0,"",INDEX(Checklist!$O$2:$O$107,MATCH($J28,Checklist!$V$2:$V$107,0)))</f>
        <v/>
      </c>
      <c r="H28" s="43" t="n"/>
      <c r="I28" s="44" t="n"/>
      <c r="J28">
        <f>LARGE(Checklist!$V$2:$V$107,25)</f>
        <v/>
      </c>
    </row>
    <row r="29">
      <c r="A29" s="40" t="n">
        <v>26</v>
      </c>
      <c r="B29" s="33">
        <f>IF($D29&lt;=0,"",INDEX(Checklist!$D$2:$D$107,MATCH($J29,Checklist!$V$2:$V$107,0)))</f>
        <v/>
      </c>
      <c r="C29" s="35">
        <f>IF($D29&lt;=0,"",INDEX(Checklist!$B$2:$B$107,MATCH($J29,Checklist!$V$2:$V$107,0)))</f>
        <v/>
      </c>
      <c r="D29" s="49">
        <f>ROUND(MAX(0,INDEX(Checklist!$N$2:$N$107,MATCH($J29,Checklist!$V$2:$V$107,0))),2)</f>
        <v/>
      </c>
      <c r="E29" s="40">
        <f>IF($D29&lt;=0,"",INDEX(Checklist!$E$2:$E$107,MATCH($J29,Checklist!$V$2:$V$107,0)))</f>
        <v/>
      </c>
      <c r="F29" s="35">
        <f>IF($D29&lt;=0,"",INDEX(Checklist!$A$2:$A$107,MATCH($J29,Checklist!$V$2:$V$107,0)))</f>
        <v/>
      </c>
      <c r="G29" s="41">
        <f>IF($D29&lt;=0,"",INDEX(Checklist!$O$2:$O$107,MATCH($J29,Checklist!$V$2:$V$107,0)))</f>
        <v/>
      </c>
      <c r="H29" s="43" t="n"/>
      <c r="I29" s="44" t="n"/>
      <c r="J29">
        <f>LARGE(Checklist!$V$2:$V$107,26)</f>
        <v/>
      </c>
    </row>
    <row r="30">
      <c r="A30" s="40" t="n">
        <v>27</v>
      </c>
      <c r="B30" s="33">
        <f>IF($D30&lt;=0,"",INDEX(Checklist!$D$2:$D$107,MATCH($J30,Checklist!$V$2:$V$107,0)))</f>
        <v/>
      </c>
      <c r="C30" s="35">
        <f>IF($D30&lt;=0,"",INDEX(Checklist!$B$2:$B$107,MATCH($J30,Checklist!$V$2:$V$107,0)))</f>
        <v/>
      </c>
      <c r="D30" s="49">
        <f>ROUND(MAX(0,INDEX(Checklist!$N$2:$N$107,MATCH($J30,Checklist!$V$2:$V$107,0))),2)</f>
        <v/>
      </c>
      <c r="E30" s="40">
        <f>IF($D30&lt;=0,"",INDEX(Checklist!$E$2:$E$107,MATCH($J30,Checklist!$V$2:$V$107,0)))</f>
        <v/>
      </c>
      <c r="F30" s="35">
        <f>IF($D30&lt;=0,"",INDEX(Checklist!$A$2:$A$107,MATCH($J30,Checklist!$V$2:$V$107,0)))</f>
        <v/>
      </c>
      <c r="G30" s="41">
        <f>IF($D30&lt;=0,"",INDEX(Checklist!$O$2:$O$107,MATCH($J30,Checklist!$V$2:$V$107,0)))</f>
        <v/>
      </c>
      <c r="H30" s="43" t="n"/>
      <c r="I30" s="44" t="n"/>
      <c r="J30">
        <f>LARGE(Checklist!$V$2:$V$107,27)</f>
        <v/>
      </c>
    </row>
    <row r="31">
      <c r="A31" s="40" t="n">
        <v>28</v>
      </c>
      <c r="B31" s="33">
        <f>IF($D31&lt;=0,"",INDEX(Checklist!$D$2:$D$107,MATCH($J31,Checklist!$V$2:$V$107,0)))</f>
        <v/>
      </c>
      <c r="C31" s="35">
        <f>IF($D31&lt;=0,"",INDEX(Checklist!$B$2:$B$107,MATCH($J31,Checklist!$V$2:$V$107,0)))</f>
        <v/>
      </c>
      <c r="D31" s="49">
        <f>ROUND(MAX(0,INDEX(Checklist!$N$2:$N$107,MATCH($J31,Checklist!$V$2:$V$107,0))),2)</f>
        <v/>
      </c>
      <c r="E31" s="40">
        <f>IF($D31&lt;=0,"",INDEX(Checklist!$E$2:$E$107,MATCH($J31,Checklist!$V$2:$V$107,0)))</f>
        <v/>
      </c>
      <c r="F31" s="35">
        <f>IF($D31&lt;=0,"",INDEX(Checklist!$A$2:$A$107,MATCH($J31,Checklist!$V$2:$V$107,0)))</f>
        <v/>
      </c>
      <c r="G31" s="41">
        <f>IF($D31&lt;=0,"",INDEX(Checklist!$O$2:$O$107,MATCH($J31,Checklist!$V$2:$V$107,0)))</f>
        <v/>
      </c>
      <c r="H31" s="43" t="n"/>
      <c r="I31" s="44" t="n"/>
      <c r="J31">
        <f>LARGE(Checklist!$V$2:$V$107,28)</f>
        <v/>
      </c>
    </row>
    <row r="32">
      <c r="A32" s="40" t="n">
        <v>29</v>
      </c>
      <c r="B32" s="33">
        <f>IF($D32&lt;=0,"",INDEX(Checklist!$D$2:$D$107,MATCH($J32,Checklist!$V$2:$V$107,0)))</f>
        <v/>
      </c>
      <c r="C32" s="35">
        <f>IF($D32&lt;=0,"",INDEX(Checklist!$B$2:$B$107,MATCH($J32,Checklist!$V$2:$V$107,0)))</f>
        <v/>
      </c>
      <c r="D32" s="49">
        <f>ROUND(MAX(0,INDEX(Checklist!$N$2:$N$107,MATCH($J32,Checklist!$V$2:$V$107,0))),2)</f>
        <v/>
      </c>
      <c r="E32" s="40">
        <f>IF($D32&lt;=0,"",INDEX(Checklist!$E$2:$E$107,MATCH($J32,Checklist!$V$2:$V$107,0)))</f>
        <v/>
      </c>
      <c r="F32" s="35">
        <f>IF($D32&lt;=0,"",INDEX(Checklist!$A$2:$A$107,MATCH($J32,Checklist!$V$2:$V$107,0)))</f>
        <v/>
      </c>
      <c r="G32" s="41">
        <f>IF($D32&lt;=0,"",INDEX(Checklist!$O$2:$O$107,MATCH($J32,Checklist!$V$2:$V$107,0)))</f>
        <v/>
      </c>
      <c r="H32" s="43" t="n"/>
      <c r="I32" s="44" t="n"/>
      <c r="J32">
        <f>LARGE(Checklist!$V$2:$V$107,29)</f>
        <v/>
      </c>
    </row>
    <row r="33">
      <c r="A33" s="40" t="n">
        <v>30</v>
      </c>
      <c r="B33" s="33">
        <f>IF($D33&lt;=0,"",INDEX(Checklist!$D$2:$D$107,MATCH($J33,Checklist!$V$2:$V$107,0)))</f>
        <v/>
      </c>
      <c r="C33" s="35">
        <f>IF($D33&lt;=0,"",INDEX(Checklist!$B$2:$B$107,MATCH($J33,Checklist!$V$2:$V$107,0)))</f>
        <v/>
      </c>
      <c r="D33" s="49">
        <f>ROUND(MAX(0,INDEX(Checklist!$N$2:$N$107,MATCH($J33,Checklist!$V$2:$V$107,0))),2)</f>
        <v/>
      </c>
      <c r="E33" s="40">
        <f>IF($D33&lt;=0,"",INDEX(Checklist!$E$2:$E$107,MATCH($J33,Checklist!$V$2:$V$107,0)))</f>
        <v/>
      </c>
      <c r="F33" s="35">
        <f>IF($D33&lt;=0,"",INDEX(Checklist!$A$2:$A$107,MATCH($J33,Checklist!$V$2:$V$107,0)))</f>
        <v/>
      </c>
      <c r="G33" s="41">
        <f>IF($D33&lt;=0,"",INDEX(Checklist!$O$2:$O$107,MATCH($J33,Checklist!$V$2:$V$107,0)))</f>
        <v/>
      </c>
      <c r="H33" s="43" t="n"/>
      <c r="I33" s="44" t="n"/>
      <c r="J33">
        <f>LARGE(Checklist!$V$2:$V$107,30)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16" customWidth="1" min="2" max="2"/>
    <col width="15" customWidth="1" min="3" max="3"/>
    <col width="96" customWidth="1" min="4" max="4"/>
  </cols>
  <sheetData>
    <row r="1">
      <c r="A1" s="5" t="inlineStr">
        <is>
          <t>Bands</t>
        </is>
      </c>
    </row>
    <row r="2">
      <c r="A2" s="7" t="inlineStr">
        <is>
          <t>Composite — the headline Kin Score</t>
        </is>
      </c>
    </row>
    <row r="3" ht="28" customHeight="1">
      <c r="A3" s="14" t="inlineStr">
        <is>
          <t>Band</t>
        </is>
      </c>
      <c r="B3" s="14" t="inlineStr">
        <is>
          <t>Range</t>
        </is>
      </c>
      <c r="C3" s="14" t="inlineStr">
        <is>
          <t>Share of catalog</t>
        </is>
      </c>
      <c r="D3" s="14" t="inlineStr">
        <is>
          <t>What it means</t>
        </is>
      </c>
    </row>
    <row r="4">
      <c r="A4" s="15" t="inlineStr">
        <is>
          <t>Exemplar</t>
        </is>
      </c>
      <c r="B4" s="40" t="inlineStr">
        <is>
          <t>66+</t>
        </is>
      </c>
      <c r="C4" s="40" t="inlineStr">
        <is>
          <t>1.2%</t>
        </is>
      </c>
      <c r="D4" s="50" t="inlineStr">
        <is>
          <t>Reference-quality API operations across every facet — a rich contract, published governance, transparent operations, and machine-readable commercial terms. The top ~1% of the catalog, and the band no provider reaches by accident.</t>
        </is>
      </c>
    </row>
    <row r="5">
      <c r="A5" s="15" t="inlineStr">
        <is>
          <t>Strong</t>
        </is>
      </c>
      <c r="B5" s="40" t="inlineStr">
        <is>
          <t>56 – 65.9</t>
        </is>
      </c>
      <c r="C5" s="40" t="inlineStr">
        <is>
          <t>4.3%</t>
        </is>
      </c>
      <c r="D5" s="50" t="inlineStr">
        <is>
          <t>Solid contracts, transparent operations, and an easy start. Typically complete on four or five facets with one clear soft spot — most often governance or a missing commercial artifact.</t>
        </is>
      </c>
    </row>
    <row r="6">
      <c r="A6" s="15" t="inlineStr">
        <is>
          <t>Developing</t>
        </is>
      </c>
      <c r="B6" s="40" t="inlineStr">
        <is>
          <t>42 – 55.9</t>
        </is>
      </c>
      <c r="C6" s="40" t="inlineStr">
        <is>
          <t>13.7%</t>
        </is>
      </c>
      <c r="D6" s="50" t="inlineStr">
        <is>
          <t>Real signal across most facets with visible, nameable gaps. The contract exists but is thin on descriptions or examples, or the portal is good while governance and commercial terms are absent.</t>
        </is>
      </c>
    </row>
    <row r="7">
      <c r="A7" s="15" t="inlineStr">
        <is>
          <t>Thin</t>
        </is>
      </c>
      <c r="B7" s="40" t="inlineStr">
        <is>
          <t>28 – 41.9</t>
        </is>
      </c>
      <c r="C7" s="40" t="inlineStr">
        <is>
          <t>14.6%</t>
        </is>
      </c>
      <c r="D7" s="50" t="inlineStr">
        <is>
          <t>Limited machine-readable signal and partial portal coverage. Usually a provider with documentation a human can read but little a machine or agent can consume without scraping.</t>
        </is>
      </c>
    </row>
    <row r="8">
      <c r="A8" s="15" t="inlineStr">
        <is>
          <t>Emerging</t>
        </is>
      </c>
      <c r="B8" s="40" t="inlineStr">
        <is>
          <t>13 – 27.9</t>
        </is>
      </c>
      <c r="C8" s="40" t="inlineStr">
        <is>
          <t>23.5%</t>
        </is>
      </c>
      <c r="D8" s="50" t="inlineStr">
        <is>
          <t>More than an index entry, but the surface is still mostly links rather than artifacts. These providers have started publishing — a portal, a few common links, maybe a spec — and are the cohort most likely to move a full band from modest, well-targeted work.</t>
        </is>
      </c>
    </row>
    <row r="9">
      <c r="A9" s="15" t="inlineStr">
        <is>
          <t>Minimal</t>
        </is>
      </c>
      <c r="B9" s="40" t="inlineStr">
        <is>
          <t>0 – 12.9</t>
        </is>
      </c>
      <c r="C9" s="40" t="inlineStr">
        <is>
          <t>42.7%</t>
        </is>
      </c>
      <c r="D9" s="50" t="inlineStr">
        <is>
          <t>Index entry only; little beyond a description and a link. Nothing here is machine-readable enough for an agent to act on without a human first reading the site.</t>
        </is>
      </c>
    </row>
    <row r="11">
      <c r="A11" s="7" t="inlineStr">
        <is>
          <t>Agent Readiness — scored and displayed separately</t>
        </is>
      </c>
    </row>
    <row r="12" ht="28" customHeight="1">
      <c r="A12" s="14" t="inlineStr">
        <is>
          <t>Band</t>
        </is>
      </c>
      <c r="B12" s="14" t="inlineStr">
        <is>
          <t>Range</t>
        </is>
      </c>
      <c r="C12" s="14" t="inlineStr">
        <is>
          <t>Share of catalog</t>
        </is>
      </c>
      <c r="D12" s="14" t="inlineStr">
        <is>
          <t>What it means</t>
        </is>
      </c>
    </row>
    <row r="13">
      <c r="A13" s="15" t="inlineStr">
        <is>
          <t>Agent-Native</t>
        </is>
      </c>
      <c r="B13" s="40" t="inlineStr">
        <is>
          <t>46+</t>
        </is>
      </c>
      <c r="C13" s="40" t="inlineStr">
        <is>
          <t>1.2%</t>
        </is>
      </c>
      <c r="D13" s="50" t="inlineStr">
        <is>
          <t>Built to be driven by agents, and the provider built it — a contract, a real agent surface the provider itself publishes, and the safety rails the band gate now requires: idempotency AND a stable error envelope. The providers an agent can drive safely today, as opposed to the providers somebody has written agent artifacts about.</t>
        </is>
      </c>
    </row>
    <row r="14">
      <c r="A14" s="15" t="inlineStr">
        <is>
          <t>Agent-Ready</t>
        </is>
      </c>
      <c r="B14" s="40" t="inlineStr">
        <is>
          <t>34+</t>
        </is>
      </c>
      <c r="C14" s="40" t="inlineStr">
        <is>
          <t>13.2%</t>
        </is>
      </c>
      <c r="D14" s="50" t="inlineStr">
        <is>
          <t>An agent can drive the core surface. A machine-readable contract and documented auth are in place, and there is real agent-facing work beyond the baseline; the safety rails (idempotency, stable errors, rate-limit signalling) mostly are not. NARROWED IN 0.6. This band used to hold the enrichment baseline plateau — ~3,300 providers whose agentic-access contract was generated for them. Once that credit was graded down the plateau fell to 30–32 and the cut moved above it, so this band now means an agent surface the provider had a hand in rather than one the catalog supplied.</t>
        </is>
      </c>
    </row>
    <row r="15">
      <c r="A15" s="15" t="inlineStr">
        <is>
          <t>Agent-Aware</t>
        </is>
      </c>
      <c r="B15" s="40" t="inlineStr">
        <is>
          <t>6+</t>
        </is>
      </c>
      <c r="C15" s="40" t="inlineStr">
        <is>
          <t>24.1%</t>
        </is>
      </c>
      <c r="D15" s="50" t="inlineStr">
        <is>
          <t>Partial machine-readable surface. An agent can read some of the API but would hit implicit conventions a human silently absorbs — the gaps where it retries blindly or gets stuck.</t>
        </is>
      </c>
    </row>
    <row r="16">
      <c r="A16" s="15" t="inlineStr">
        <is>
          <t>Human-Only</t>
        </is>
      </c>
      <c r="B16" s="40" t="inlineStr">
        <is>
          <t>0+</t>
        </is>
      </c>
      <c r="C16" s="40" t="inlineStr">
        <is>
          <t>61.4%</t>
        </is>
      </c>
      <c r="D16" s="50" t="inlineStr">
        <is>
          <t>Little an agent can consume without a human first reading the site. A developer can integrate it; their agent cannot yet.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24" customWidth="1" min="1" max="1"/>
    <col width="26" customWidth="1" min="2" max="2"/>
    <col width="10" customWidth="1" min="3" max="3"/>
    <col width="52" customWidth="1" min="4" max="4"/>
    <col width="62" customWidth="1" min="5" max="5"/>
    <col width="52" customWidth="1" min="6" max="6"/>
    <col width="76" customWidth="1" min="7" max="7"/>
  </cols>
  <sheetData>
    <row r="1">
      <c r="A1" s="5" t="inlineStr">
        <is>
          <t>Regulated industries</t>
        </is>
      </c>
    </row>
    <row r="2">
      <c r="A2" s="2" t="inlineStr">
        <is>
          <t>A provider is regulated when its tags match a regime. Every matching regime is scored and the one with the most tag hits wins, ties broken by specificity. Pick the winner on the Setup tab — it switches on that regime's own checks and folds the regulatory facet into your composite.</t>
        </is>
      </c>
    </row>
    <row r="4" ht="28" customHeight="1">
      <c r="A4" s="14" t="inlineStr">
        <is>
          <t>Regime ID</t>
        </is>
      </c>
      <c r="B4" s="14" t="inlineStr">
        <is>
          <t>Label</t>
        </is>
      </c>
      <c r="C4" s="14" t="inlineStr">
        <is>
          <t>Specificity</t>
        </is>
      </c>
      <c r="D4" s="14" t="inlineStr">
        <is>
          <t>Regimes it stands for</t>
        </is>
      </c>
      <c r="E4" s="14" t="inlineStr">
        <is>
          <t>Tags that match it</t>
        </is>
      </c>
      <c r="F4" s="14" t="inlineStr">
        <is>
          <t>Standards it expects</t>
        </is>
      </c>
      <c r="G4" s="14" t="inlineStr">
        <is>
          <t>Basis</t>
        </is>
      </c>
    </row>
    <row r="5">
      <c r="A5" s="51" t="inlineStr">
        <is>
          <t>banking_open_finance</t>
        </is>
      </c>
      <c r="B5" s="15" t="inlineStr">
        <is>
          <t>Banking &amp; Open Finance</t>
        </is>
      </c>
      <c r="C5" s="40" t="n">
        <v>3</v>
      </c>
      <c r="D5" s="50" t="inlineStr">
        <is>
          <t>CDR (Australia), UK Open Banking, PSD2/PSD3 (EU), 1033 (US), FDX</t>
        </is>
      </c>
      <c r="E5" s="50" t="inlineStr">
        <is>
          <t>banks, banking, open banking, open finance, cdr, consumer data right, psd2, psd3, 1033, fdx, consumer banking, neobank, building society, credit union, mutual bank, digital bank</t>
        </is>
      </c>
      <c r="F5" s="50" t="inlineStr">
        <is>
          <t>obie, uk-open-banking, cdr-banking, consumer-data-standards, fdx, berlin-group-nextgenpsd2, fapi, fapi-2</t>
        </is>
      </c>
      <c r="G5" s="50" t="inlineStr">
        <is>
          <t>Consumer-permissioned data sharing and payment access, mandated or standardized: consent-scoped OAuth/OIDC (often FAPI), a named data standard, and a security + disclosure posture.</t>
        </is>
      </c>
    </row>
    <row r="6">
      <c r="A6" s="51" t="inlineStr">
        <is>
          <t>securities_market_data</t>
        </is>
      </c>
      <c r="B6" s="15" t="inlineStr">
        <is>
          <t>Securities &amp; Market Data</t>
        </is>
      </c>
      <c r="C6" s="40" t="n">
        <v>2</v>
      </c>
      <c r="D6" s="50" t="inlineStr">
        <is>
          <t>MiFID II (EU), SEC/FINRA (US), exchange data licensing, market-data redistribution</t>
        </is>
      </c>
      <c r="E6" s="50" t="inlineStr">
        <is>
          <t>market data, securities, stock exchange, order execution, mifid, mifid ii, finra, sec, otc, derivatives, equities, market-data   |   weak (only when nothing else matched): exchange, brokerage, broker, trading</t>
        </is>
      </c>
      <c r="F6" s="50" t="inlineStr">
        <is>
          <t>fix-protocol, mifid-ii, iso-20022</t>
        </is>
      </c>
      <c r="G6" s="50" t="inlineStr">
        <is>
          <t>Licensed market data and securities activity: entitlement and redistribution terms, licensing/compliance disclosure, and auditability.</t>
        </is>
      </c>
    </row>
    <row r="7">
      <c r="A7" s="51" t="inlineStr">
        <is>
          <t>health</t>
        </is>
      </c>
      <c r="B7" s="15" t="inlineStr">
        <is>
          <t>Health</t>
        </is>
      </c>
      <c r="C7" s="40" t="n">
        <v>3</v>
      </c>
      <c r="D7" s="50" t="inlineStr">
        <is>
          <t>HIPAA (US), FHIR / US Core, 21st Century Cures Act, EHDS (EU)</t>
        </is>
      </c>
      <c r="E7" s="50" t="inlineStr">
        <is>
          <t>health, healthcare, clinical, ehr, emr, fhir, medical, patient, health data, life sciences, pharma, telehealth, payer, provider network</t>
        </is>
      </c>
      <c r="F7" s="50" t="inlineStr">
        <is>
          <t>fhir, smart-on-fhir, us-core, uscdi, da-vinci, carin-blue-button, fhir-bulk-data, cds-hooks, c-cda, hl7-v2, dicom</t>
        </is>
      </c>
      <c r="G7" s="50" t="inlineStr">
        <is>
          <t>Protected health information and interoperability mandates: FHIR conformance, consent, HIPAA-grade security, and info-blocking posture.</t>
        </is>
      </c>
    </row>
    <row r="8">
      <c r="A8" s="51" t="inlineStr">
        <is>
          <t>payments</t>
        </is>
      </c>
      <c r="B8" s="15" t="inlineStr">
        <is>
          <t>Payments</t>
        </is>
      </c>
      <c r="C8" s="40" t="n">
        <v>3</v>
      </c>
      <c r="D8" s="50" t="inlineStr">
        <is>
          <t>PCI-DSS, card-network rules, SCA/PSD2, ISO 20022</t>
        </is>
      </c>
      <c r="E8" s="50" t="inlineStr">
        <is>
          <t>payments, payment, card, cards, acquiring, issuing, pci, pci-dss, merchant, checkout, wallet, payment gateway</t>
        </is>
      </c>
      <c r="F8" s="50" t="inlineStr">
        <is>
          <t>pci-dss, 3-d-secure, iso-20022, confirmation-of-payee, emv, psd2-sca, open-payments</t>
        </is>
      </c>
      <c r="G8" s="50" t="inlineStr">
        <is>
          <t>Cardholder and payment data: PCI-DSS scope, strong customer authentication, and a security + disclosure posture.</t>
        </is>
      </c>
    </row>
    <row r="9">
      <c r="A9" s="51" t="inlineStr">
        <is>
          <t>insurance</t>
        </is>
      </c>
      <c r="B9" s="15" t="inlineStr">
        <is>
          <t>Insurance</t>
        </is>
      </c>
      <c r="C9" s="40" t="n">
        <v>4</v>
      </c>
      <c r="D9" s="50" t="inlineStr">
        <is>
          <t>NAIC/solvency, open insurance, IDD (EU), state DOI rules</t>
        </is>
      </c>
      <c r="E9" s="50" t="inlineStr">
        <is>
          <t>insurance, insurtech, underwriting, claims, policy, actuarial, reinsurance, broker network, lloyds, syndicate, p&amp;c, life insurance, health insurance, general insurance</t>
        </is>
      </c>
      <c r="F9" s="50" t="inlineStr">
        <is>
          <t>acord, acord-al3, acord-xml, ngds, grlc, cieca-bms, csio, market-reform-contract</t>
        </is>
      </c>
      <c r="G9" s="50" t="inlineStr">
        <is>
          <t>Policyholder data and market conduct: consent, disclosure, and standards conformance where an open-insurance regime exists.</t>
        </is>
      </c>
    </row>
    <row r="10">
      <c r="A10" s="51" t="inlineStr">
        <is>
          <t>telecommunications</t>
        </is>
      </c>
      <c r="B10" s="15" t="inlineStr">
        <is>
          <t>Telecommunications</t>
        </is>
      </c>
      <c r="C10" s="40" t="n">
        <v>4</v>
      </c>
      <c r="D10" s="50" t="inlineStr">
        <is>
          <t>FCC / Communications Act (CPNI), Ofcom / Communications Act 2003, ACMA / Telecommunications Act, ITU Constitution, ePrivacy Directive</t>
        </is>
      </c>
      <c r="E10" s="50" t="inlineStr">
        <is>
          <t>telecom, telecommunications, telco, carrier, mobile network operator, mno, mvno, cpaas, sms, voice, messaging, network api, camara, open gateway, sim, roaming, number verification, subscriber</t>
        </is>
      </c>
      <c r="F10" s="50" t="inlineStr">
        <is>
          <t>camara, tm-forum-open-api, gsma-open-gateway, ciba, 3gpp, mef, etsi</t>
        </is>
      </c>
      <c r="G10" s="50" t="inlineStr">
        <is>
          <t>Network capability exposed as an API, over exactly the subscriber data the CPNI and ePrivacy regimes restrict: number verification, SIM swap, device location, and the consent surface each requires. Added in 0.6 — scoring 83 telecom organizations under 0.5 fired the conditional facet for only seven of them, via Government, Payments and Health, leaving a sector supervised by four national regulators with no regulatory layer at all.</t>
        </is>
      </c>
    </row>
    <row r="11">
      <c r="A11" s="51" t="inlineStr">
        <is>
          <t>energy_utilities</t>
        </is>
      </c>
      <c r="B11" s="15" t="inlineStr">
        <is>
          <t>Energy &amp; Utilities</t>
        </is>
      </c>
      <c r="C11" s="40" t="n">
        <v>4</v>
      </c>
      <c r="D11" s="50" t="inlineStr">
        <is>
          <t>CDR Energy (Australia), Green Button / ESPI (North America), Smart Energy Code + DCC (GB), Ofgem Data Best Practice, FERC Order 889 / OASIS (US)</t>
        </is>
      </c>
      <c r="E11" s="50" t="inlineStr">
        <is>
          <t>energy, utilities, utility, electricity, gas, power, grid, smart meter, smart metering, distribution network, dso, dno, energy retailer, green button, renewables, ev charging, water utility</t>
        </is>
      </c>
      <c r="F11" s="50" t="inlineStr">
        <is>
          <t>green-button, espi, cds-energy, cds-common, smart-energy-code, ieee-2030-5, openadr</t>
        </is>
      </c>
      <c r="G11" s="50" t="inlineStr">
        <is>
          <t>Customer energy data and network open data, both increasingly compelled: a consumer data right over usage and billing, and "presumed open" network data published under licence conditions. Added in 0.6 — the energy quartet measured a verified mandate as worth about twelve points of composite, the largest single effect in the series, against a regime that did not exist in the map.</t>
        </is>
      </c>
    </row>
    <row r="12">
      <c r="A12" s="51" t="inlineStr">
        <is>
          <t>government</t>
        </is>
      </c>
      <c r="B12" s="15" t="inlineStr">
        <is>
          <t>Government &amp; Public Sector</t>
        </is>
      </c>
      <c r="C12" s="40" t="n">
        <v>2</v>
      </c>
      <c r="D12" s="50" t="inlineStr">
        <is>
          <t>FedRAMP, eIDAS (EU), open-data standards, national gov API policy</t>
        </is>
      </c>
      <c r="E12" s="50" t="inlineStr">
        <is>
          <t>government, public sector, gov, govtech, civic, municipal, federal, state government, open data, public data</t>
        </is>
      </c>
      <c r="F12" s="50" t="inlineStr">
        <is>
          <t>dcat, ckan, eidas, fedramp, open-data-charter</t>
        </is>
      </c>
      <c r="G12" s="50" t="inlineStr">
        <is>
          <t>Public-sector data and identity: security authorization, accessibility, open-data standards, and identity/eIDAS conformance.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34" customWidth="1" min="1" max="1"/>
    <col width="18" customWidth="1" min="2" max="2"/>
    <col width="20" customWidth="1" min="3" max="3"/>
    <col width="96" customWidth="1" min="4" max="4"/>
  </cols>
  <sheetData>
    <row r="1">
      <c r="A1" s="5" t="inlineStr">
        <is>
          <t>Provenance — who published the artifact</t>
        </is>
      </c>
    </row>
    <row r="2">
      <c r="A2" s="2" t="inlineStr">
        <is>
          <t>API Evangelist's enrichment pipeline authors artifacts on a provider's behalf — modeled OpenAPI, candidate MCP catalogs, generated agent skills, derived agentic-access contracts. From rubric 0.6 the score can see the difference, and grades an artifact by who wrote it. On the Checklist and Agent Readiness tabs, the Authorship column is only editable on the checks this applies to; everything else is fixed at full credit.</t>
        </is>
      </c>
    </row>
    <row r="4" ht="28" customHeight="1">
      <c r="A4" s="14" t="inlineStr">
        <is>
          <t>Authorship</t>
        </is>
      </c>
      <c r="B4" s="14" t="inlineStr">
        <is>
          <t>Credit</t>
        </is>
      </c>
      <c r="C4" s="14" t="inlineStr">
        <is>
          <t>What it means</t>
        </is>
      </c>
    </row>
    <row r="5">
      <c r="A5" s="15" t="inlineStr">
        <is>
          <t>first-party</t>
        </is>
      </c>
      <c r="B5" s="52" t="n">
        <v>1</v>
      </c>
      <c r="C5" s="50" t="inlineStr">
        <is>
          <t>The provider published it themselves. Full credit.</t>
        </is>
      </c>
    </row>
    <row r="6">
      <c r="A6" s="15" t="inlineStr">
        <is>
          <t>conformance</t>
        </is>
      </c>
      <c r="B6" s="52" t="n">
        <v>0.75</v>
      </c>
      <c r="C6" s="50" t="inlineStr">
        <is>
          <t>Written against a standard the provider conforms to, not by the provider. Most of the award.</t>
        </is>
      </c>
    </row>
    <row r="7">
      <c r="A7" s="15" t="inlineStr">
        <is>
          <t>derived</t>
        </is>
      </c>
      <c r="B7" s="52" t="n">
        <v>0.25</v>
      </c>
      <c r="C7" s="50" t="inlineStr">
        <is>
          <t>API Evangelist authored it on the provider's behalf. A quarter credit — it is a real artifact an agent can fetch, but it is not evidence the provider designed for agents.</t>
        </is>
      </c>
    </row>
    <row r="8">
      <c r="A8" s="15" t="inlineStr">
        <is>
          <t>unknown</t>
        </is>
      </c>
      <c r="B8" s="52" t="n">
        <v>1</v>
      </c>
      <c r="C8" s="50" t="inlineStr">
        <is>
          <t>Nobody marked it. Credited in full TODAY because marker coverage across the catalog is still ~2.6% and the alternative punishes providers for a gap in our metadata. This is the loosest dial in the rubric and it is expected to tighten — publishing an artifact with legible authorship is the cheapest way to protect points you already have.</t>
        </is>
      </c>
    </row>
    <row r="10">
      <c r="A10" s="7" t="inlineStr">
        <is>
          <t>Which checks are graded this way</t>
        </is>
      </c>
    </row>
    <row r="11" ht="28" customHeight="1">
      <c r="A11" s="14" t="inlineStr">
        <is>
          <t>Check / dimension</t>
        </is>
      </c>
      <c r="B11" s="14" t="inlineStr">
        <is>
          <t>Artifact class</t>
        </is>
      </c>
      <c r="C11" s="14" t="inlineStr">
        <is>
          <t>Where</t>
        </is>
      </c>
      <c r="D11" s="14" t="inlineStr">
        <is>
          <t>Points at stake</t>
        </is>
      </c>
    </row>
    <row r="12">
      <c r="A12" s="53" t="inlineStr">
        <is>
          <t>Publishes a machine-readable contract</t>
        </is>
      </c>
      <c r="B12" s="51" t="inlineStr">
        <is>
          <t>openapi</t>
        </is>
      </c>
      <c r="C12" s="54" t="inlineStr">
        <is>
          <t>Checklist</t>
        </is>
      </c>
      <c r="D12" s="54" t="inlineStr">
        <is>
          <t>20 points, scaled by authorship credit</t>
        </is>
      </c>
    </row>
    <row r="13">
      <c r="A13" s="53" t="inlineStr">
        <is>
          <t>OpenAPI 3.1</t>
        </is>
      </c>
      <c r="B13" s="51" t="inlineStr">
        <is>
          <t>openapi</t>
        </is>
      </c>
      <c r="C13" s="54" t="inlineStr">
        <is>
          <t>Checklist</t>
        </is>
      </c>
      <c r="D13" s="54" t="inlineStr">
        <is>
          <t>5 points, scaled by authorship credit</t>
        </is>
      </c>
    </row>
    <row r="14">
      <c r="A14" s="53" t="inlineStr">
        <is>
          <t>OpenAPI 3.0</t>
        </is>
      </c>
      <c r="B14" s="51" t="inlineStr">
        <is>
          <t>openapi</t>
        </is>
      </c>
      <c r="C14" s="54" t="inlineStr">
        <is>
          <t>Checklist</t>
        </is>
      </c>
      <c r="D14" s="54" t="inlineStr">
        <is>
          <t>3 points, scaled by authorship credit</t>
        </is>
      </c>
    </row>
    <row r="15">
      <c r="A15" s="53" t="inlineStr">
        <is>
          <t>Complete info block</t>
        </is>
      </c>
      <c r="B15" s="51" t="inlineStr">
        <is>
          <t>openapi</t>
        </is>
      </c>
      <c r="C15" s="54" t="inlineStr">
        <is>
          <t>Checklist</t>
        </is>
      </c>
      <c r="D15" s="54" t="inlineStr">
        <is>
          <t>4 points, scaled by authorship credit</t>
        </is>
      </c>
    </row>
    <row r="16">
      <c r="A16" s="53" t="inlineStr">
        <is>
          <t>Real servers declared</t>
        </is>
      </c>
      <c r="B16" s="51" t="inlineStr">
        <is>
          <t>openapi</t>
        </is>
      </c>
      <c r="C16" s="54" t="inlineStr">
        <is>
          <t>Checklist</t>
        </is>
      </c>
      <c r="D16" s="54" t="inlineStr">
        <is>
          <t>3 points, scaled by authorship credit</t>
        </is>
      </c>
    </row>
    <row r="17">
      <c r="A17" s="53" t="inlineStr">
        <is>
          <t>Servers resolve to a real host</t>
        </is>
      </c>
      <c r="B17" s="51" t="inlineStr">
        <is>
          <t>openapi</t>
        </is>
      </c>
      <c r="C17" s="54" t="inlineStr">
        <is>
          <t>Checklist</t>
        </is>
      </c>
      <c r="D17" s="54" t="inlineStr">
        <is>
          <t>5 points, scaled by authorship credit</t>
        </is>
      </c>
    </row>
    <row r="18">
      <c r="A18" s="53" t="inlineStr">
        <is>
          <t>Operations have summaries</t>
        </is>
      </c>
      <c r="B18" s="51" t="inlineStr">
        <is>
          <t>openapi</t>
        </is>
      </c>
      <c r="C18" s="54" t="inlineStr">
        <is>
          <t>Checklist</t>
        </is>
      </c>
      <c r="D18" s="54" t="inlineStr">
        <is>
          <t>6 points, scaled by authorship credit</t>
        </is>
      </c>
    </row>
    <row r="19">
      <c r="A19" s="53" t="inlineStr">
        <is>
          <t>Operations have descriptions</t>
        </is>
      </c>
      <c r="B19" s="51" t="inlineStr">
        <is>
          <t>openapi</t>
        </is>
      </c>
      <c r="C19" s="54" t="inlineStr">
        <is>
          <t>Checklist</t>
        </is>
      </c>
      <c r="D19" s="54" t="inlineStr">
        <is>
          <t>6 points, scaled by authorship credit</t>
        </is>
      </c>
    </row>
    <row r="20">
      <c r="A20" s="53" t="inlineStr">
        <is>
          <t>Operations are tagged</t>
        </is>
      </c>
      <c r="B20" s="51" t="inlineStr">
        <is>
          <t>openapi</t>
        </is>
      </c>
      <c r="C20" s="54" t="inlineStr">
        <is>
          <t>Checklist</t>
        </is>
      </c>
      <c r="D20" s="54" t="inlineStr">
        <is>
          <t>4 points, scaled by authorship credit</t>
        </is>
      </c>
    </row>
    <row r="21">
      <c r="A21" s="53" t="inlineStr">
        <is>
          <t>Unique operationIds</t>
        </is>
      </c>
      <c r="B21" s="51" t="inlineStr">
        <is>
          <t>openapi</t>
        </is>
      </c>
      <c r="C21" s="54" t="inlineStr">
        <is>
          <t>Checklist</t>
        </is>
      </c>
      <c r="D21" s="54" t="inlineStr">
        <is>
          <t>4 points, scaled by authorship credit</t>
        </is>
      </c>
    </row>
    <row r="22">
      <c r="A22" s="53" t="inlineStr">
        <is>
          <t>Success responses defined</t>
        </is>
      </c>
      <c r="B22" s="51" t="inlineStr">
        <is>
          <t>openapi</t>
        </is>
      </c>
      <c r="C22" s="54" t="inlineStr">
        <is>
          <t>Checklist</t>
        </is>
      </c>
      <c r="D22" s="54" t="inlineStr">
        <is>
          <t>5 points, scaled by authorship credit</t>
        </is>
      </c>
    </row>
    <row r="23">
      <c r="A23" s="53" t="inlineStr">
        <is>
          <t>Error responses documented</t>
        </is>
      </c>
      <c r="B23" s="51" t="inlineStr">
        <is>
          <t>openapi</t>
        </is>
      </c>
      <c r="C23" s="54" t="inlineStr">
        <is>
          <t>Checklist</t>
        </is>
      </c>
      <c r="D23" s="54" t="inlineStr">
        <is>
          <t>4 points, scaled by authorship credit</t>
        </is>
      </c>
    </row>
    <row r="24">
      <c r="A24" s="53" t="inlineStr">
        <is>
          <t>Examples present</t>
        </is>
      </c>
      <c r="B24" s="51" t="inlineStr">
        <is>
          <t>openapi</t>
        </is>
      </c>
      <c r="C24" s="54" t="inlineStr">
        <is>
          <t>Checklist</t>
        </is>
      </c>
      <c r="D24" s="54" t="inlineStr">
        <is>
          <t>4 points, scaled by authorship credit</t>
        </is>
      </c>
    </row>
    <row r="25">
      <c r="A25" s="53" t="inlineStr">
        <is>
          <t>Reusable components</t>
        </is>
      </c>
      <c r="B25" s="51" t="inlineStr">
        <is>
          <t>openapi</t>
        </is>
      </c>
      <c r="C25" s="54" t="inlineStr">
        <is>
          <t>Checklist</t>
        </is>
      </c>
      <c r="D25" s="54" t="inlineStr">
        <is>
          <t>3 points, scaled by authorship credit</t>
        </is>
      </c>
    </row>
    <row r="26">
      <c r="A26" s="53" t="inlineStr">
        <is>
          <t>Security schemes defined</t>
        </is>
      </c>
      <c r="B26" s="51" t="inlineStr">
        <is>
          <t>openapi</t>
        </is>
      </c>
      <c r="C26" s="54" t="inlineStr">
        <is>
          <t>Checklist</t>
        </is>
      </c>
      <c r="D26" s="54" t="inlineStr">
        <is>
          <t>4 points, scaled by authorship credit</t>
        </is>
      </c>
    </row>
    <row r="27">
      <c r="A27" s="53" t="inlineStr">
        <is>
          <t>Security applied to operations</t>
        </is>
      </c>
      <c r="B27" s="51" t="inlineStr">
        <is>
          <t>openapi</t>
        </is>
      </c>
      <c r="C27" s="54" t="inlineStr">
        <is>
          <t>Checklist</t>
        </is>
      </c>
      <c r="D27" s="54" t="inlineStr">
        <is>
          <t>3 points, scaled by authorship credit</t>
        </is>
      </c>
    </row>
    <row r="28">
      <c r="A28" s="53" t="inlineStr">
        <is>
          <t>Declares no deprecated OAuth grant</t>
        </is>
      </c>
      <c r="B28" s="51" t="inlineStr">
        <is>
          <t>openapi</t>
        </is>
      </c>
      <c r="C28" s="54" t="inlineStr">
        <is>
          <t>Checklist</t>
        </is>
      </c>
      <c r="D28" s="54" t="inlineStr">
        <is>
          <t>4 points, scaled by authorship credit</t>
        </is>
      </c>
    </row>
    <row r="29">
      <c r="A29" s="53" t="inlineStr">
        <is>
          <t>Keeps credentials out of the query string</t>
        </is>
      </c>
      <c r="B29" s="51" t="inlineStr">
        <is>
          <t>openapi</t>
        </is>
      </c>
      <c r="C29" s="54" t="inlineStr">
        <is>
          <t>Checklist</t>
        </is>
      </c>
      <c r="D29" s="54" t="inlineStr">
        <is>
          <t>3 points, scaled by authorship credit</t>
        </is>
      </c>
    </row>
    <row r="30">
      <c r="A30" s="53" t="inlineStr">
        <is>
          <t>Enumerates OAuth scopes</t>
        </is>
      </c>
      <c r="B30" s="51" t="inlineStr">
        <is>
          <t>openapi</t>
        </is>
      </c>
      <c r="C30" s="54" t="inlineStr">
        <is>
          <t>Checklist</t>
        </is>
      </c>
      <c r="D30" s="54" t="inlineStr">
        <is>
          <t>4 points, scaled by authorship credit</t>
        </is>
      </c>
    </row>
    <row r="31">
      <c r="A31" s="53" t="inlineStr">
        <is>
          <t>Webhooks or callbacks</t>
        </is>
      </c>
      <c r="B31" s="51" t="inlineStr">
        <is>
          <t>openapi</t>
        </is>
      </c>
      <c r="C31" s="54" t="inlineStr">
        <is>
          <t>Checklist</t>
        </is>
      </c>
      <c r="D31" s="54" t="inlineStr">
        <is>
          <t>2 points, scaled by authorship credit</t>
        </is>
      </c>
    </row>
    <row r="32">
      <c r="A32" s="53" t="inlineStr">
        <is>
          <t>Declared conformance profile</t>
        </is>
      </c>
      <c r="B32" s="51" t="inlineStr">
        <is>
          <t>conformance</t>
        </is>
      </c>
      <c r="C32" s="54" t="inlineStr">
        <is>
          <t>Checklist</t>
        </is>
      </c>
      <c r="D32" s="54" t="inlineStr">
        <is>
          <t>6 points, scaled by authorship credit</t>
        </is>
      </c>
    </row>
    <row r="33">
      <c r="A33" s="53" t="inlineStr">
        <is>
          <t>MCP server</t>
        </is>
      </c>
      <c r="B33" s="51" t="inlineStr">
        <is>
          <t>mcp</t>
        </is>
      </c>
      <c r="C33" s="54" t="inlineStr">
        <is>
          <t>Checklist</t>
        </is>
      </c>
      <c r="D33" s="54" t="inlineStr">
        <is>
          <t>4 points, scaled by authorship credit</t>
        </is>
      </c>
    </row>
    <row r="34">
      <c r="A34" s="53" t="inlineStr">
        <is>
          <t>Agent Skill</t>
        </is>
      </c>
      <c r="B34" s="51" t="inlineStr">
        <is>
          <t>skills</t>
        </is>
      </c>
      <c r="C34" s="54" t="inlineStr">
        <is>
          <t>Checklist</t>
        </is>
      </c>
      <c r="D34" s="54" t="inlineStr">
        <is>
          <t>3 points, scaled by authorship credit</t>
        </is>
      </c>
    </row>
    <row r="35">
      <c r="A35" s="53" t="inlineStr">
        <is>
          <t>Agentic Access Contract</t>
        </is>
      </c>
      <c r="B35" s="51" t="inlineStr">
        <is>
          <t>agentic_access</t>
        </is>
      </c>
      <c r="C35" s="54" t="inlineStr">
        <is>
          <t>Agent Readiness</t>
        </is>
      </c>
      <c r="D35" s="54" t="inlineStr">
        <is>
          <t>10 points, scaled by authorship credit</t>
        </is>
      </c>
    </row>
    <row r="36">
      <c r="A36" s="53" t="inlineStr">
        <is>
          <t>MCP Server</t>
        </is>
      </c>
      <c r="B36" s="51" t="inlineStr">
        <is>
          <t>mcp</t>
        </is>
      </c>
      <c r="C36" s="54" t="inlineStr">
        <is>
          <t>Agent Readiness</t>
        </is>
      </c>
      <c r="D36" s="54" t="inlineStr">
        <is>
          <t>12 points, scaled by authorship credit</t>
        </is>
      </c>
    </row>
    <row r="37">
      <c r="A37" s="53" t="inlineStr">
        <is>
          <t>Typed Event Surface</t>
        </is>
      </c>
      <c r="B37" s="51" t="inlineStr">
        <is>
          <t>asyncapi</t>
        </is>
      </c>
      <c r="C37" s="54" t="inlineStr">
        <is>
          <t>Agent Readiness</t>
        </is>
      </c>
      <c r="D37" s="54" t="inlineStr">
        <is>
          <t>6 points, scaled by authorship credit</t>
        </is>
      </c>
    </row>
    <row r="38">
      <c r="A38" s="53" t="inlineStr">
        <is>
          <t>Agent Skills</t>
        </is>
      </c>
      <c r="B38" s="51" t="inlineStr">
        <is>
          <t>skills</t>
        </is>
      </c>
      <c r="C38" s="54" t="inlineStr">
        <is>
          <t>Agent Readiness</t>
        </is>
      </c>
      <c r="D38" s="54" t="inlineStr">
        <is>
          <t>5 points, scaled by authorship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2026-08-05T00:24:59Z</dcterms:created>
  <dcterms:modified xsi:type="dcterms:W3CDTF">2026-08-05T00:24:59Z</dcterms:modified>
</cp:coreProperties>
</file>